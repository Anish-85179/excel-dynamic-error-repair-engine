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drive\EXCEL GOOGLE SHEETS\"/>
    </mc:Choice>
  </mc:AlternateContent>
  <xr:revisionPtr revIDLastSave="0" documentId="8_{492F5856-4021-48A6-AB56-C828DC92EFD9}" xr6:coauthVersionLast="47" xr6:coauthVersionMax="47" xr10:uidLastSave="{00000000-0000-0000-0000-000000000000}"/>
  <bookViews>
    <workbookView xWindow="-108" yWindow="-108" windowWidth="23256" windowHeight="13176" xr2:uid="{7D546B98-A527-4152-9D46-F942028AC964}"/>
  </bookViews>
  <sheets>
    <sheet name="01_Corrupted_General_Ledger" sheetId="2" r:id="rId1"/>
    <sheet name="02_Formula_Repair_Engine" sheetId="3" r:id="rId2"/>
    <sheet name="03_Reconciliation_Matrix" sheetId="4" r:id="rId3"/>
    <sheet name="04_Audit_Executive_Consol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5" l="1"/>
  <c r="F6" i="5"/>
  <c r="D6" i="5"/>
  <c r="B6" i="5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G41" i="3" s="1"/>
  <c r="B41" i="4" s="1"/>
  <c r="D41" i="4" s="1"/>
  <c r="F41" i="4" s="1"/>
  <c r="F42" i="3"/>
  <c r="G42" i="3" s="1"/>
  <c r="B42" i="4" s="1"/>
  <c r="D42" i="4" s="1"/>
  <c r="F42" i="4" s="1"/>
  <c r="F43" i="3"/>
  <c r="G43" i="3" s="1"/>
  <c r="B43" i="4" s="1"/>
  <c r="D43" i="4" s="1"/>
  <c r="F43" i="4" s="1"/>
  <c r="F44" i="3"/>
  <c r="G44" i="3" s="1"/>
  <c r="B44" i="4" s="1"/>
  <c r="D44" i="4" s="1"/>
  <c r="F44" i="4" s="1"/>
  <c r="F45" i="3"/>
  <c r="G45" i="3" s="1"/>
  <c r="B45" i="4" s="1"/>
  <c r="D45" i="4" s="1"/>
  <c r="F45" i="4" s="1"/>
  <c r="F46" i="3"/>
  <c r="G46" i="3" s="1"/>
  <c r="B46" i="4" s="1"/>
  <c r="D46" i="4" s="1"/>
  <c r="F46" i="4" s="1"/>
  <c r="F47" i="3"/>
  <c r="G47" i="3" s="1"/>
  <c r="B47" i="4" s="1"/>
  <c r="D47" i="4" s="1"/>
  <c r="F47" i="4" s="1"/>
  <c r="F48" i="3"/>
  <c r="G48" i="3" s="1"/>
  <c r="B48" i="4" s="1"/>
  <c r="D48" i="4" s="1"/>
  <c r="F48" i="4" s="1"/>
  <c r="F49" i="3"/>
  <c r="G49" i="3" s="1"/>
  <c r="B49" i="4" s="1"/>
  <c r="D49" i="4" s="1"/>
  <c r="F49" i="4" s="1"/>
  <c r="F50" i="3"/>
  <c r="G50" i="3" s="1"/>
  <c r="B50" i="4" s="1"/>
  <c r="D50" i="4" s="1"/>
  <c r="F50" i="4" s="1"/>
  <c r="F51" i="3"/>
  <c r="G51" i="3" s="1"/>
  <c r="B51" i="4" s="1"/>
  <c r="D51" i="4" s="1"/>
  <c r="F51" i="4" s="1"/>
  <c r="F52" i="3"/>
  <c r="G52" i="3" s="1"/>
  <c r="B52" i="4" s="1"/>
  <c r="D52" i="4" s="1"/>
  <c r="F52" i="4" s="1"/>
  <c r="F53" i="3"/>
  <c r="G53" i="3" s="1"/>
  <c r="B53" i="4" s="1"/>
  <c r="D53" i="4" s="1"/>
  <c r="F53" i="4" s="1"/>
  <c r="F54" i="3"/>
  <c r="G54" i="3" s="1"/>
  <c r="B54" i="4" s="1"/>
  <c r="D54" i="4" s="1"/>
  <c r="F54" i="4" s="1"/>
  <c r="F55" i="3"/>
  <c r="G55" i="3" s="1"/>
  <c r="B55" i="4" s="1"/>
  <c r="D55" i="4" s="1"/>
  <c r="F55" i="4" s="1"/>
  <c r="F56" i="3"/>
  <c r="G56" i="3" s="1"/>
  <c r="B56" i="4" s="1"/>
  <c r="D56" i="4" s="1"/>
  <c r="F56" i="4" s="1"/>
  <c r="F57" i="3"/>
  <c r="G57" i="3" s="1"/>
  <c r="B57" i="4" s="1"/>
  <c r="D57" i="4" s="1"/>
  <c r="F57" i="4" s="1"/>
  <c r="F58" i="3"/>
  <c r="G58" i="3" s="1"/>
  <c r="B58" i="4" s="1"/>
  <c r="D58" i="4" s="1"/>
  <c r="F58" i="4" s="1"/>
  <c r="F59" i="3"/>
  <c r="G59" i="3" s="1"/>
  <c r="B59" i="4" s="1"/>
  <c r="D59" i="4" s="1"/>
  <c r="F59" i="4" s="1"/>
  <c r="F60" i="3"/>
  <c r="G60" i="3" s="1"/>
  <c r="B60" i="4" s="1"/>
  <c r="D60" i="4" s="1"/>
  <c r="F60" i="4" s="1"/>
  <c r="F61" i="3"/>
  <c r="G61" i="3" s="1"/>
  <c r="B61" i="4" s="1"/>
  <c r="D61" i="4" s="1"/>
  <c r="F61" i="4" s="1"/>
  <c r="F62" i="3"/>
  <c r="G62" i="3" s="1"/>
  <c r="B62" i="4" s="1"/>
  <c r="D62" i="4" s="1"/>
  <c r="F62" i="4" s="1"/>
  <c r="F63" i="3"/>
  <c r="G63" i="3" s="1"/>
  <c r="B63" i="4" s="1"/>
  <c r="D63" i="4" s="1"/>
  <c r="F63" i="4" s="1"/>
  <c r="F64" i="3"/>
  <c r="G64" i="3" s="1"/>
  <c r="B64" i="4" s="1"/>
  <c r="D64" i="4" s="1"/>
  <c r="F64" i="4" s="1"/>
  <c r="F65" i="3"/>
  <c r="G65" i="3" s="1"/>
  <c r="B65" i="4" s="1"/>
  <c r="D65" i="4" s="1"/>
  <c r="F65" i="4" s="1"/>
  <c r="F66" i="3"/>
  <c r="G66" i="3" s="1"/>
  <c r="B66" i="4" s="1"/>
  <c r="D66" i="4" s="1"/>
  <c r="F66" i="4" s="1"/>
  <c r="F67" i="3"/>
  <c r="G67" i="3" s="1"/>
  <c r="B67" i="4" s="1"/>
  <c r="D67" i="4" s="1"/>
  <c r="F67" i="4" s="1"/>
  <c r="F68" i="3"/>
  <c r="G68" i="3" s="1"/>
  <c r="B68" i="4" s="1"/>
  <c r="D68" i="4" s="1"/>
  <c r="F68" i="4" s="1"/>
  <c r="F69" i="3"/>
  <c r="G69" i="3" s="1"/>
  <c r="B69" i="4" s="1"/>
  <c r="D69" i="4" s="1"/>
  <c r="F69" i="4" s="1"/>
  <c r="F70" i="3"/>
  <c r="G70" i="3" s="1"/>
  <c r="B70" i="4" s="1"/>
  <c r="D70" i="4" s="1"/>
  <c r="F70" i="4" s="1"/>
  <c r="F71" i="3"/>
  <c r="G71" i="3" s="1"/>
  <c r="B71" i="4" s="1"/>
  <c r="D71" i="4" s="1"/>
  <c r="F71" i="4" s="1"/>
  <c r="F72" i="3"/>
  <c r="G72" i="3" s="1"/>
  <c r="B72" i="4" s="1"/>
  <c r="D72" i="4" s="1"/>
  <c r="F72" i="4" s="1"/>
  <c r="F73" i="3"/>
  <c r="G73" i="3" s="1"/>
  <c r="B73" i="4" s="1"/>
  <c r="D73" i="4" s="1"/>
  <c r="F73" i="4" s="1"/>
  <c r="F74" i="3"/>
  <c r="G74" i="3" s="1"/>
  <c r="B74" i="4" s="1"/>
  <c r="D74" i="4" s="1"/>
  <c r="F74" i="4" s="1"/>
  <c r="F75" i="3"/>
  <c r="G75" i="3" s="1"/>
  <c r="B75" i="4" s="1"/>
  <c r="D75" i="4" s="1"/>
  <c r="F75" i="4" s="1"/>
  <c r="F76" i="3"/>
  <c r="G76" i="3" s="1"/>
  <c r="B76" i="4" s="1"/>
  <c r="D76" i="4" s="1"/>
  <c r="F76" i="4" s="1"/>
  <c r="F77" i="3"/>
  <c r="G77" i="3" s="1"/>
  <c r="B77" i="4" s="1"/>
  <c r="D77" i="4" s="1"/>
  <c r="F77" i="4" s="1"/>
  <c r="F78" i="3"/>
  <c r="G78" i="3" s="1"/>
  <c r="B78" i="4" s="1"/>
  <c r="D78" i="4" s="1"/>
  <c r="F78" i="4" s="1"/>
  <c r="F79" i="3"/>
  <c r="G79" i="3" s="1"/>
  <c r="B79" i="4" s="1"/>
  <c r="D79" i="4" s="1"/>
  <c r="F79" i="4" s="1"/>
  <c r="F80" i="3"/>
  <c r="G80" i="3" s="1"/>
  <c r="B80" i="4" s="1"/>
  <c r="D80" i="4" s="1"/>
  <c r="F80" i="4" s="1"/>
  <c r="F81" i="3"/>
  <c r="G81" i="3" s="1"/>
  <c r="B81" i="4" s="1"/>
  <c r="D81" i="4" s="1"/>
  <c r="F81" i="4" s="1"/>
  <c r="F82" i="3"/>
  <c r="G82" i="3" s="1"/>
  <c r="B82" i="4" s="1"/>
  <c r="D82" i="4" s="1"/>
  <c r="F82" i="4" s="1"/>
  <c r="F83" i="3"/>
  <c r="G83" i="3" s="1"/>
  <c r="B83" i="4" s="1"/>
  <c r="D83" i="4" s="1"/>
  <c r="F83" i="4" s="1"/>
  <c r="F84" i="3"/>
  <c r="G84" i="3" s="1"/>
  <c r="B84" i="4" s="1"/>
  <c r="D84" i="4" s="1"/>
  <c r="F84" i="4" s="1"/>
  <c r="F85" i="3"/>
  <c r="G85" i="3" s="1"/>
  <c r="B85" i="4" s="1"/>
  <c r="D85" i="4" s="1"/>
  <c r="F85" i="4" s="1"/>
  <c r="F86" i="3"/>
  <c r="G86" i="3" s="1"/>
  <c r="B86" i="4" s="1"/>
  <c r="D86" i="4" s="1"/>
  <c r="F86" i="4" s="1"/>
  <c r="F87" i="3"/>
  <c r="G87" i="3" s="1"/>
  <c r="B87" i="4" s="1"/>
  <c r="D87" i="4" s="1"/>
  <c r="F87" i="4" s="1"/>
  <c r="F88" i="3"/>
  <c r="G88" i="3" s="1"/>
  <c r="B88" i="4" s="1"/>
  <c r="D88" i="4" s="1"/>
  <c r="F88" i="4" s="1"/>
  <c r="F89" i="3"/>
  <c r="G89" i="3" s="1"/>
  <c r="B89" i="4" s="1"/>
  <c r="D89" i="4" s="1"/>
  <c r="F89" i="4" s="1"/>
  <c r="F90" i="3"/>
  <c r="G90" i="3" s="1"/>
  <c r="B90" i="4" s="1"/>
  <c r="D90" i="4" s="1"/>
  <c r="F90" i="4" s="1"/>
  <c r="F91" i="3"/>
  <c r="G91" i="3" s="1"/>
  <c r="B91" i="4" s="1"/>
  <c r="D91" i="4" s="1"/>
  <c r="F91" i="4" s="1"/>
  <c r="F92" i="3"/>
  <c r="G92" i="3" s="1"/>
  <c r="B92" i="4" s="1"/>
  <c r="D92" i="4" s="1"/>
  <c r="F92" i="4" s="1"/>
  <c r="F93" i="3"/>
  <c r="G93" i="3" s="1"/>
  <c r="B93" i="4" s="1"/>
  <c r="D93" i="4" s="1"/>
  <c r="F93" i="4" s="1"/>
  <c r="F94" i="3"/>
  <c r="G94" i="3" s="1"/>
  <c r="B94" i="4" s="1"/>
  <c r="D94" i="4" s="1"/>
  <c r="F94" i="4" s="1"/>
  <c r="F95" i="3"/>
  <c r="G95" i="3" s="1"/>
  <c r="B95" i="4" s="1"/>
  <c r="D95" i="4" s="1"/>
  <c r="F95" i="4" s="1"/>
  <c r="F96" i="3"/>
  <c r="G96" i="3" s="1"/>
  <c r="B96" i="4" s="1"/>
  <c r="D96" i="4" s="1"/>
  <c r="F96" i="4" s="1"/>
  <c r="F97" i="3"/>
  <c r="G97" i="3" s="1"/>
  <c r="B97" i="4" s="1"/>
  <c r="D97" i="4" s="1"/>
  <c r="F97" i="4" s="1"/>
  <c r="F98" i="3"/>
  <c r="G98" i="3" s="1"/>
  <c r="B98" i="4" s="1"/>
  <c r="D98" i="4" s="1"/>
  <c r="F98" i="4" s="1"/>
  <c r="F99" i="3"/>
  <c r="G99" i="3" s="1"/>
  <c r="B99" i="4" s="1"/>
  <c r="D99" i="4" s="1"/>
  <c r="F99" i="4" s="1"/>
  <c r="F100" i="3"/>
  <c r="G100" i="3" s="1"/>
  <c r="B100" i="4" s="1"/>
  <c r="D100" i="4" s="1"/>
  <c r="F100" i="4" s="1"/>
  <c r="F101" i="3"/>
  <c r="G101" i="3" s="1"/>
  <c r="B101" i="4" s="1"/>
  <c r="D101" i="4" s="1"/>
  <c r="F101" i="4" s="1"/>
  <c r="F2" i="3"/>
  <c r="G2" i="3" s="1"/>
  <c r="B2" i="4" s="1"/>
  <c r="D2" i="4" s="1"/>
  <c r="F2" i="4" s="1"/>
  <c r="H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G3" i="3"/>
  <c r="B3" i="4" s="1"/>
  <c r="D3" i="4" s="1"/>
  <c r="F3" i="4" s="1"/>
  <c r="G4" i="3"/>
  <c r="B4" i="4" s="1"/>
  <c r="D4" i="4" s="1"/>
  <c r="F4" i="4" s="1"/>
  <c r="G5" i="3"/>
  <c r="B5" i="4" s="1"/>
  <c r="D5" i="4" s="1"/>
  <c r="F5" i="4" s="1"/>
  <c r="G6" i="3"/>
  <c r="B6" i="4" s="1"/>
  <c r="D6" i="4" s="1"/>
  <c r="F6" i="4" s="1"/>
  <c r="G7" i="3"/>
  <c r="B7" i="4" s="1"/>
  <c r="D7" i="4" s="1"/>
  <c r="F7" i="4" s="1"/>
  <c r="G8" i="3"/>
  <c r="B8" i="4" s="1"/>
  <c r="D8" i="4" s="1"/>
  <c r="F8" i="4" s="1"/>
  <c r="G9" i="3"/>
  <c r="B9" i="4" s="1"/>
  <c r="D9" i="4" s="1"/>
  <c r="F9" i="4" s="1"/>
  <c r="G10" i="3"/>
  <c r="B10" i="4" s="1"/>
  <c r="D10" i="4" s="1"/>
  <c r="F10" i="4" s="1"/>
  <c r="G11" i="3"/>
  <c r="B11" i="4" s="1"/>
  <c r="D11" i="4" s="1"/>
  <c r="F11" i="4" s="1"/>
  <c r="G12" i="3"/>
  <c r="B12" i="4" s="1"/>
  <c r="D12" i="4" s="1"/>
  <c r="F12" i="4" s="1"/>
  <c r="G13" i="3"/>
  <c r="B13" i="4" s="1"/>
  <c r="D13" i="4" s="1"/>
  <c r="F13" i="4" s="1"/>
  <c r="G14" i="3"/>
  <c r="B14" i="4" s="1"/>
  <c r="D14" i="4" s="1"/>
  <c r="F14" i="4" s="1"/>
  <c r="G15" i="3"/>
  <c r="B15" i="4" s="1"/>
  <c r="D15" i="4" s="1"/>
  <c r="F15" i="4" s="1"/>
  <c r="G16" i="3"/>
  <c r="B16" i="4" s="1"/>
  <c r="D16" i="4" s="1"/>
  <c r="F16" i="4" s="1"/>
  <c r="G17" i="3"/>
  <c r="B17" i="4" s="1"/>
  <c r="D17" i="4" s="1"/>
  <c r="F17" i="4" s="1"/>
  <c r="G18" i="3"/>
  <c r="B18" i="4" s="1"/>
  <c r="D18" i="4" s="1"/>
  <c r="F18" i="4" s="1"/>
  <c r="G19" i="3"/>
  <c r="B19" i="4" s="1"/>
  <c r="D19" i="4" s="1"/>
  <c r="F19" i="4" s="1"/>
  <c r="G20" i="3"/>
  <c r="B20" i="4" s="1"/>
  <c r="D20" i="4" s="1"/>
  <c r="F20" i="4" s="1"/>
  <c r="G21" i="3"/>
  <c r="B21" i="4" s="1"/>
  <c r="D21" i="4" s="1"/>
  <c r="F21" i="4" s="1"/>
  <c r="G22" i="3"/>
  <c r="B22" i="4" s="1"/>
  <c r="D22" i="4" s="1"/>
  <c r="F22" i="4" s="1"/>
  <c r="G23" i="3"/>
  <c r="B23" i="4" s="1"/>
  <c r="D23" i="4" s="1"/>
  <c r="F23" i="4" s="1"/>
  <c r="G24" i="3"/>
  <c r="B24" i="4" s="1"/>
  <c r="D24" i="4" s="1"/>
  <c r="F24" i="4" s="1"/>
  <c r="G25" i="3"/>
  <c r="B25" i="4" s="1"/>
  <c r="D25" i="4" s="1"/>
  <c r="F25" i="4" s="1"/>
  <c r="G26" i="3"/>
  <c r="B26" i="4" s="1"/>
  <c r="D26" i="4" s="1"/>
  <c r="F26" i="4" s="1"/>
  <c r="G27" i="3"/>
  <c r="B27" i="4" s="1"/>
  <c r="D27" i="4" s="1"/>
  <c r="F27" i="4" s="1"/>
  <c r="G28" i="3"/>
  <c r="B28" i="4" s="1"/>
  <c r="D28" i="4" s="1"/>
  <c r="F28" i="4" s="1"/>
  <c r="G29" i="3"/>
  <c r="B29" i="4" s="1"/>
  <c r="D29" i="4" s="1"/>
  <c r="F29" i="4" s="1"/>
  <c r="G30" i="3"/>
  <c r="B30" i="4" s="1"/>
  <c r="D30" i="4" s="1"/>
  <c r="F30" i="4" s="1"/>
  <c r="G31" i="3"/>
  <c r="B31" i="4" s="1"/>
  <c r="D31" i="4" s="1"/>
  <c r="F31" i="4" s="1"/>
  <c r="G32" i="3"/>
  <c r="B32" i="4" s="1"/>
  <c r="D32" i="4" s="1"/>
  <c r="F32" i="4" s="1"/>
  <c r="G33" i="3"/>
  <c r="B33" i="4" s="1"/>
  <c r="D33" i="4" s="1"/>
  <c r="F33" i="4" s="1"/>
  <c r="G34" i="3"/>
  <c r="B34" i="4" s="1"/>
  <c r="D34" i="4" s="1"/>
  <c r="F34" i="4" s="1"/>
  <c r="G35" i="3"/>
  <c r="B35" i="4" s="1"/>
  <c r="D35" i="4" s="1"/>
  <c r="F35" i="4" s="1"/>
  <c r="G36" i="3"/>
  <c r="B36" i="4" s="1"/>
  <c r="D36" i="4" s="1"/>
  <c r="F36" i="4" s="1"/>
  <c r="G37" i="3"/>
  <c r="B37" i="4" s="1"/>
  <c r="D37" i="4" s="1"/>
  <c r="F37" i="4" s="1"/>
  <c r="G38" i="3"/>
  <c r="B38" i="4" s="1"/>
  <c r="D38" i="4" s="1"/>
  <c r="F38" i="4" s="1"/>
  <c r="G39" i="3"/>
  <c r="B39" i="4" s="1"/>
  <c r="D39" i="4" s="1"/>
  <c r="F39" i="4" s="1"/>
  <c r="G40" i="3"/>
  <c r="B40" i="4" s="1"/>
  <c r="D40" i="4" s="1"/>
  <c r="F40" i="4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E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2" i="3"/>
</calcChain>
</file>

<file path=xl/sharedStrings.xml><?xml version="1.0" encoding="utf-8"?>
<sst xmlns="http://schemas.openxmlformats.org/spreadsheetml/2006/main" count="350" uniqueCount="233">
  <si>
    <t>Txn_ID</t>
  </si>
  <si>
    <t>Posting_Date</t>
  </si>
  <si>
    <t>GL_Account</t>
  </si>
  <si>
    <t>Vendor_ID</t>
  </si>
  <si>
    <t>Quantity_Units</t>
  </si>
  <si>
    <t>Unit_Price_USD</t>
  </si>
  <si>
    <t>Raw_Extended_Cost</t>
  </si>
  <si>
    <t>Target_Subledger_Balance</t>
  </si>
  <si>
    <t>TXN-1001</t>
  </si>
  <si>
    <t>6001-OPEX</t>
  </si>
  <si>
    <t>VEND-801</t>
  </si>
  <si>
    <t>TXN-1002</t>
  </si>
  <si>
    <t>6002-CAPEX</t>
  </si>
  <si>
    <t>VEND-999</t>
  </si>
  <si>
    <t>TXN-1003</t>
  </si>
  <si>
    <t>VEND-803</t>
  </si>
  <si>
    <t>TXN-1004</t>
  </si>
  <si>
    <t>6003-SUPPLY</t>
  </si>
  <si>
    <t>VEND-804</t>
  </si>
  <si>
    <t xml:space="preserve"> $15.50 </t>
  </si>
  <si>
    <t>TXN-1005</t>
  </si>
  <si>
    <t>VEND-805</t>
  </si>
  <si>
    <t>TXN-1006</t>
  </si>
  <si>
    <t>6004-TRAVEL</t>
  </si>
  <si>
    <t>VEND-806</t>
  </si>
  <si>
    <t>INVALID_QTY</t>
  </si>
  <si>
    <t>TXN-1007</t>
  </si>
  <si>
    <t>VEND-807</t>
  </si>
  <si>
    <t>TXN-1008</t>
  </si>
  <si>
    <t>VEND-808</t>
  </si>
  <si>
    <t>TXN-1009</t>
  </si>
  <si>
    <t>TXN-1010</t>
  </si>
  <si>
    <t>VEND-810</t>
  </si>
  <si>
    <t>TXN-1011</t>
  </si>
  <si>
    <t>VEND-811</t>
  </si>
  <si>
    <t>$88.00</t>
  </si>
  <si>
    <t>TXN-1012</t>
  </si>
  <si>
    <t>VEND-812</t>
  </si>
  <si>
    <t>TXN-1013</t>
  </si>
  <si>
    <t>VEND-813</t>
  </si>
  <si>
    <t>TXN-1014</t>
  </si>
  <si>
    <t>VEND-814</t>
  </si>
  <si>
    <t>TXN-1015</t>
  </si>
  <si>
    <t>TXN-1016</t>
  </si>
  <si>
    <t>VEND-816</t>
  </si>
  <si>
    <t>PENDING_QTY</t>
  </si>
  <si>
    <t>TXN-1017</t>
  </si>
  <si>
    <t>VEND-817</t>
  </si>
  <si>
    <t>TXN-1018</t>
  </si>
  <si>
    <t>VEND-818</t>
  </si>
  <si>
    <t>TXN-1019</t>
  </si>
  <si>
    <t>VEND-819</t>
  </si>
  <si>
    <t>TXN-1020</t>
  </si>
  <si>
    <t>VEND-820</t>
  </si>
  <si>
    <t xml:space="preserve"> $52.00 </t>
  </si>
  <si>
    <t>TXN-1021</t>
  </si>
  <si>
    <t>VEND-821</t>
  </si>
  <si>
    <t>TXN-1022</t>
  </si>
  <si>
    <t>TXN-1023</t>
  </si>
  <si>
    <t>VEND-823</t>
  </si>
  <si>
    <t>TXN-1024</t>
  </si>
  <si>
    <t>VEND-824</t>
  </si>
  <si>
    <t>ERR_FORMAT</t>
  </si>
  <si>
    <t>TXN-1025</t>
  </si>
  <si>
    <t>VEND-825</t>
  </si>
  <si>
    <t>TXN-1026</t>
  </si>
  <si>
    <t>VEND-826</t>
  </si>
  <si>
    <t>TXN-1027</t>
  </si>
  <si>
    <t>TXN-1028</t>
  </si>
  <si>
    <t>VEND-828</t>
  </si>
  <si>
    <t>TXN-1029</t>
  </si>
  <si>
    <t>VEND-829</t>
  </si>
  <si>
    <t xml:space="preserve"> $18.50 </t>
  </si>
  <si>
    <t>TXN-1030</t>
  </si>
  <si>
    <t>VEND-830</t>
  </si>
  <si>
    <t>TXN-1031</t>
  </si>
  <si>
    <t>VEND-831</t>
  </si>
  <si>
    <t>BAD_DATA</t>
  </si>
  <si>
    <t>TXN-1032</t>
  </si>
  <si>
    <t>VEND-832</t>
  </si>
  <si>
    <t>TXN-1033</t>
  </si>
  <si>
    <t>VEND-833</t>
  </si>
  <si>
    <t>TXN-1034</t>
  </si>
  <si>
    <t>TXN-1035</t>
  </si>
  <si>
    <t>VEND-835</t>
  </si>
  <si>
    <t>TXN-1036</t>
  </si>
  <si>
    <t>VEND-836</t>
  </si>
  <si>
    <t>$92.00</t>
  </si>
  <si>
    <t>TXN-1037</t>
  </si>
  <si>
    <t>VEND-837</t>
  </si>
  <si>
    <t>TXN-1038</t>
  </si>
  <si>
    <t>VEND-838</t>
  </si>
  <si>
    <t>TXN-1039</t>
  </si>
  <si>
    <t>VEND-839</t>
  </si>
  <si>
    <t>TXN-1040</t>
  </si>
  <si>
    <t>TXN-1041</t>
  </si>
  <si>
    <t>VEND-841</t>
  </si>
  <si>
    <t>UNCERTAIN</t>
  </si>
  <si>
    <t>TXN-1042</t>
  </si>
  <si>
    <t>VEND-842</t>
  </si>
  <si>
    <t>TXN-1043</t>
  </si>
  <si>
    <t>VEND-843</t>
  </si>
  <si>
    <t>TXN-1044</t>
  </si>
  <si>
    <t>VEND-844</t>
  </si>
  <si>
    <t>TXN-1045</t>
  </si>
  <si>
    <t>VEND-845</t>
  </si>
  <si>
    <t xml:space="preserve"> $60.00 </t>
  </si>
  <si>
    <t>TXN-1046</t>
  </si>
  <si>
    <t>VEND-846</t>
  </si>
  <si>
    <t>TXN-1047</t>
  </si>
  <si>
    <t>TXN-1048</t>
  </si>
  <si>
    <t>VEND-848</t>
  </si>
  <si>
    <t>TXN-1049</t>
  </si>
  <si>
    <t>VEND-849</t>
  </si>
  <si>
    <t>ERR_QTY</t>
  </si>
  <si>
    <t>TXN-1050</t>
  </si>
  <si>
    <t>VEND-850</t>
  </si>
  <si>
    <t>TXN-1051</t>
  </si>
  <si>
    <t>VEND-851</t>
  </si>
  <si>
    <t>TXN-1052</t>
  </si>
  <si>
    <t>TXN-1053</t>
  </si>
  <si>
    <t>VEND-853</t>
  </si>
  <si>
    <t>TXN-1054</t>
  </si>
  <si>
    <t>VEND-854</t>
  </si>
  <si>
    <t xml:space="preserve"> $16.00 </t>
  </si>
  <si>
    <t>TXN-1055</t>
  </si>
  <si>
    <t>VEND-855</t>
  </si>
  <si>
    <t>TXN-1056</t>
  </si>
  <si>
    <t>VEND-856</t>
  </si>
  <si>
    <t>INVALID_INPUT</t>
  </si>
  <si>
    <t>TXN-1057</t>
  </si>
  <si>
    <t>VEND-857</t>
  </si>
  <si>
    <t>TXN-1058</t>
  </si>
  <si>
    <t>VEND-858</t>
  </si>
  <si>
    <t>TXN-1059</t>
  </si>
  <si>
    <t>TXN-1060</t>
  </si>
  <si>
    <t>VEND-860</t>
  </si>
  <si>
    <t>TXN-1061</t>
  </si>
  <si>
    <t>VEND-861</t>
  </si>
  <si>
    <t>$95.00</t>
  </si>
  <si>
    <t>TXN-1062</t>
  </si>
  <si>
    <t>VEND-862</t>
  </si>
  <si>
    <t>TXN-1063</t>
  </si>
  <si>
    <t>VEND-863</t>
  </si>
  <si>
    <t>TXN-1064</t>
  </si>
  <si>
    <t>VEND-864</t>
  </si>
  <si>
    <t>TXN-1065</t>
  </si>
  <si>
    <t>TXN-1066</t>
  </si>
  <si>
    <t>VEND-866</t>
  </si>
  <si>
    <t>MISSING</t>
  </si>
  <si>
    <t>TXN-1067</t>
  </si>
  <si>
    <t>VEND-867</t>
  </si>
  <si>
    <t>TXN-1068</t>
  </si>
  <si>
    <t>VEND-868</t>
  </si>
  <si>
    <t>TXN-1069</t>
  </si>
  <si>
    <t>VEND-869</t>
  </si>
  <si>
    <t>TXN-1070</t>
  </si>
  <si>
    <t>VEND-870</t>
  </si>
  <si>
    <t xml:space="preserve"> $58.00 </t>
  </si>
  <si>
    <t>TXN-1071</t>
  </si>
  <si>
    <t>VEND-871</t>
  </si>
  <si>
    <t>TXN-1072</t>
  </si>
  <si>
    <t>TXN-1073</t>
  </si>
  <si>
    <t>VEND-873</t>
  </si>
  <si>
    <t>TXN-1074</t>
  </si>
  <si>
    <t>VEND-874</t>
  </si>
  <si>
    <t>NOT_AVAIL</t>
  </si>
  <si>
    <t>TXN-1075</t>
  </si>
  <si>
    <t>VEND-875</t>
  </si>
  <si>
    <t>TXN-1076</t>
  </si>
  <si>
    <t>VEND-876</t>
  </si>
  <si>
    <t>TXN-1077</t>
  </si>
  <si>
    <t>TXN-1078</t>
  </si>
  <si>
    <t>VEND-878</t>
  </si>
  <si>
    <t>TXN-1079</t>
  </si>
  <si>
    <t>VEND-879</t>
  </si>
  <si>
    <t xml:space="preserve"> $17.50 </t>
  </si>
  <si>
    <t>TXN-1080</t>
  </si>
  <si>
    <t>VEND-880</t>
  </si>
  <si>
    <t>TXN-1081</t>
  </si>
  <si>
    <t>VEND-881</t>
  </si>
  <si>
    <t>TEXT_ERR</t>
  </si>
  <si>
    <t>TXN-1082</t>
  </si>
  <si>
    <t>VEND-882</t>
  </si>
  <si>
    <t>TXN-1083</t>
  </si>
  <si>
    <t>VEND-883</t>
  </si>
  <si>
    <t>TXN-1084</t>
  </si>
  <si>
    <t>TXN-1085</t>
  </si>
  <si>
    <t>VEND-885</t>
  </si>
  <si>
    <t>TXN-1086</t>
  </si>
  <si>
    <t>VEND-886</t>
  </si>
  <si>
    <t>$90.00</t>
  </si>
  <si>
    <t>TXN-1087</t>
  </si>
  <si>
    <t>VEND-887</t>
  </si>
  <si>
    <t>TXN-1088</t>
  </si>
  <si>
    <t>VEND-888</t>
  </si>
  <si>
    <t>TXN-1089</t>
  </si>
  <si>
    <t>VEND-889</t>
  </si>
  <si>
    <t>TXN-1090</t>
  </si>
  <si>
    <t>TXN-1091</t>
  </si>
  <si>
    <t>VEND-891</t>
  </si>
  <si>
    <t>UNPARSED</t>
  </si>
  <si>
    <t>TXN-1092</t>
  </si>
  <si>
    <t>VEND-892</t>
  </si>
  <si>
    <t>TXN-1093</t>
  </si>
  <si>
    <t>VEND-893</t>
  </si>
  <si>
    <t>TXN-1094</t>
  </si>
  <si>
    <t>VEND-894</t>
  </si>
  <si>
    <t>TXN-1095</t>
  </si>
  <si>
    <t>VEND-895</t>
  </si>
  <si>
    <t xml:space="preserve"> $64.00 </t>
  </si>
  <si>
    <t>TXN-1096</t>
  </si>
  <si>
    <t>VEND-896</t>
  </si>
  <si>
    <t>TXN-1097</t>
  </si>
  <si>
    <t>TXN-1098</t>
  </si>
  <si>
    <t>VEND-898</t>
  </si>
  <si>
    <t>TXN-1099</t>
  </si>
  <si>
    <t>VEND-899</t>
  </si>
  <si>
    <t>NON_NUMERIC</t>
  </si>
  <si>
    <t>TXN-1100</t>
  </si>
  <si>
    <t>VEND-900</t>
  </si>
  <si>
    <t>Repaired_Vendor_ID</t>
  </si>
  <si>
    <t>Clean_Quantity_Units</t>
  </si>
  <si>
    <t>Clean_Unit_Price_USD</t>
  </si>
  <si>
    <t>Repaired_Extended_Cost</t>
  </si>
  <si>
    <t>Audit_Status</t>
  </si>
  <si>
    <t>Absolute_Variance</t>
  </si>
  <si>
    <t>Tolerance_Threshold</t>
  </si>
  <si>
    <t>Reconciliation_Status</t>
  </si>
  <si>
    <t>Total Transactions Audited</t>
  </si>
  <si>
    <t>Errors Trapped &amp; Repaired</t>
  </si>
  <si>
    <t>Reconciliation Variances</t>
  </si>
  <si>
    <t>System Health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</si>
</sst>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1"/>
      <color rgb="FFFFFFFF"/>
      <name val="Segoe UI"/>
      <family val="2"/>
    </font>
    <font>
      <sz val="10"/>
      <color theme="0" tint="-0.149998474074526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3" tint="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3" fillId="2" borderId="0" xfId="0" applyFont="1" applyFill="1"/>
    <xf numFmtId="4" fontId="3" fillId="2" borderId="1" xfId="0" applyNumberFormat="1" applyFont="1" applyFill="1" applyBorder="1"/>
    <xf numFmtId="4" fontId="3" fillId="2" borderId="2" xfId="0" applyNumberFormat="1" applyFont="1" applyFill="1" applyBorder="1"/>
    <xf numFmtId="4" fontId="3" fillId="2" borderId="3" xfId="0" applyNumberFormat="1" applyFont="1" applyFill="1" applyBorder="1"/>
    <xf numFmtId="4" fontId="1" fillId="0" borderId="4" xfId="0" applyNumberFormat="1" applyFont="1" applyBorder="1"/>
    <xf numFmtId="4" fontId="1" fillId="0" borderId="0" xfId="0" applyNumberFormat="1" applyFont="1" applyBorder="1"/>
    <xf numFmtId="4" fontId="1" fillId="0" borderId="5" xfId="0" applyNumberFormat="1" applyFont="1" applyBorder="1"/>
    <xf numFmtId="4" fontId="1" fillId="0" borderId="6" xfId="0" applyNumberFormat="1" applyFont="1" applyBorder="1"/>
    <xf numFmtId="4" fontId="1" fillId="0" borderId="7" xfId="0" applyNumberFormat="1" applyFont="1" applyBorder="1"/>
    <xf numFmtId="4" fontId="1" fillId="0" borderId="8" xfId="0" applyNumberFormat="1" applyFont="1" applyBorder="1"/>
    <xf numFmtId="0" fontId="4" fillId="3" borderId="0" xfId="0" applyFont="1" applyFill="1"/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E5E7EB"/>
      <color rgb="FFFFFFFF"/>
      <color rgb="FF22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E974-FE77-4DBC-820C-A88570028CFC}">
  <dimension ref="A1:H101"/>
  <sheetViews>
    <sheetView tabSelected="1" zoomScale="72" workbookViewId="0">
      <selection activeCell="E27" sqref="E27"/>
    </sheetView>
  </sheetViews>
  <sheetFormatPr defaultRowHeight="16.8" x14ac:dyDescent="0.4"/>
  <cols>
    <col min="1" max="1" width="9.33203125" style="1" bestFit="1" customWidth="1"/>
    <col min="2" max="2" width="12.5546875" style="1" bestFit="1" customWidth="1"/>
    <col min="3" max="3" width="12.21875" style="1" bestFit="1" customWidth="1"/>
    <col min="4" max="4" width="10.21875" style="1" bestFit="1" customWidth="1"/>
    <col min="5" max="5" width="14.5546875" style="1" bestFit="1" customWidth="1"/>
    <col min="6" max="6" width="14.21875" style="1" bestFit="1" customWidth="1"/>
    <col min="7" max="7" width="18.5546875" style="1" bestFit="1" customWidth="1"/>
    <col min="8" max="8" width="24" style="1" bestFit="1" customWidth="1"/>
    <col min="9" max="16384" width="8.88671875" style="1"/>
  </cols>
  <sheetData>
    <row r="1" spans="1:8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4">
      <c r="A2" s="8" t="s">
        <v>8</v>
      </c>
      <c r="B2" s="9">
        <v>46023</v>
      </c>
      <c r="C2" s="9" t="s">
        <v>9</v>
      </c>
      <c r="D2" s="9" t="s">
        <v>10</v>
      </c>
      <c r="E2" s="9">
        <v>150</v>
      </c>
      <c r="F2" s="9">
        <v>45</v>
      </c>
      <c r="G2" s="9">
        <v>6750</v>
      </c>
      <c r="H2" s="10">
        <v>6750</v>
      </c>
    </row>
    <row r="3" spans="1:8" x14ac:dyDescent="0.4">
      <c r="A3" s="8" t="s">
        <v>11</v>
      </c>
      <c r="B3" s="9">
        <v>46023</v>
      </c>
      <c r="C3" s="9" t="s">
        <v>12</v>
      </c>
      <c r="D3" s="9" t="s">
        <v>13</v>
      </c>
      <c r="E3" s="9">
        <v>80</v>
      </c>
      <c r="F3" s="9" t="e">
        <v>#N/A</v>
      </c>
      <c r="G3" s="9" t="e">
        <v>#N/A</v>
      </c>
      <c r="H3" s="10">
        <v>3200</v>
      </c>
    </row>
    <row r="4" spans="1:8" x14ac:dyDescent="0.4">
      <c r="A4" s="8" t="s">
        <v>14</v>
      </c>
      <c r="B4" s="9">
        <v>46024</v>
      </c>
      <c r="C4" s="9" t="s">
        <v>9</v>
      </c>
      <c r="D4" s="9" t="s">
        <v>15</v>
      </c>
      <c r="E4" s="9">
        <v>0</v>
      </c>
      <c r="F4" s="9">
        <v>120</v>
      </c>
      <c r="G4" s="9" t="e">
        <v>#DIV/0!</v>
      </c>
      <c r="H4" s="10">
        <v>0</v>
      </c>
    </row>
    <row r="5" spans="1:8" x14ac:dyDescent="0.4">
      <c r="A5" s="8" t="s">
        <v>16</v>
      </c>
      <c r="B5" s="9">
        <v>46024</v>
      </c>
      <c r="C5" s="9" t="s">
        <v>17</v>
      </c>
      <c r="D5" s="9" t="s">
        <v>18</v>
      </c>
      <c r="E5" s="9">
        <v>200</v>
      </c>
      <c r="F5" s="9" t="s">
        <v>19</v>
      </c>
      <c r="G5" s="9">
        <v>3100</v>
      </c>
      <c r="H5" s="10">
        <v>3100</v>
      </c>
    </row>
    <row r="6" spans="1:8" x14ac:dyDescent="0.4">
      <c r="A6" s="8" t="s">
        <v>20</v>
      </c>
      <c r="B6" s="9">
        <v>46025</v>
      </c>
      <c r="C6" s="9" t="s">
        <v>9</v>
      </c>
      <c r="D6" s="9" t="s">
        <v>21</v>
      </c>
      <c r="E6" s="9">
        <v>50</v>
      </c>
      <c r="F6" s="9">
        <v>310</v>
      </c>
      <c r="G6" s="9">
        <v>15500</v>
      </c>
      <c r="H6" s="10">
        <v>15500</v>
      </c>
    </row>
    <row r="7" spans="1:8" x14ac:dyDescent="0.4">
      <c r="A7" s="8" t="s">
        <v>22</v>
      </c>
      <c r="B7" s="9">
        <v>46025</v>
      </c>
      <c r="C7" s="9" t="s">
        <v>23</v>
      </c>
      <c r="D7" s="9" t="s">
        <v>24</v>
      </c>
      <c r="E7" s="9" t="s">
        <v>25</v>
      </c>
      <c r="F7" s="9">
        <v>75</v>
      </c>
      <c r="G7" s="9" t="e">
        <v>#VALUE!</v>
      </c>
      <c r="H7" s="10">
        <v>1875</v>
      </c>
    </row>
    <row r="8" spans="1:8" x14ac:dyDescent="0.4">
      <c r="A8" s="8" t="s">
        <v>26</v>
      </c>
      <c r="B8" s="9">
        <v>46026</v>
      </c>
      <c r="C8" s="9" t="s">
        <v>12</v>
      </c>
      <c r="D8" s="9" t="s">
        <v>27</v>
      </c>
      <c r="E8" s="9">
        <v>120</v>
      </c>
      <c r="F8" s="9">
        <v>95</v>
      </c>
      <c r="G8" s="9">
        <v>11400</v>
      </c>
      <c r="H8" s="10">
        <v>11400</v>
      </c>
    </row>
    <row r="9" spans="1:8" x14ac:dyDescent="0.4">
      <c r="A9" s="8" t="s">
        <v>28</v>
      </c>
      <c r="B9" s="9">
        <v>46026</v>
      </c>
      <c r="C9" s="9" t="s">
        <v>17</v>
      </c>
      <c r="D9" s="9" t="s">
        <v>29</v>
      </c>
      <c r="E9" s="9">
        <v>300</v>
      </c>
      <c r="F9" s="9">
        <v>0</v>
      </c>
      <c r="G9" s="9" t="e">
        <v>#DIV/0!</v>
      </c>
      <c r="H9" s="10">
        <v>0</v>
      </c>
    </row>
    <row r="10" spans="1:8" x14ac:dyDescent="0.4">
      <c r="A10" s="8" t="s">
        <v>30</v>
      </c>
      <c r="B10" s="9">
        <v>46027</v>
      </c>
      <c r="C10" s="9" t="s">
        <v>9</v>
      </c>
      <c r="D10" s="9" t="s">
        <v>13</v>
      </c>
      <c r="E10" s="9">
        <v>45</v>
      </c>
      <c r="F10" s="9" t="e">
        <v>#N/A</v>
      </c>
      <c r="G10" s="9" t="e">
        <v>#N/A</v>
      </c>
      <c r="H10" s="10">
        <v>1800</v>
      </c>
    </row>
    <row r="11" spans="1:8" x14ac:dyDescent="0.4">
      <c r="A11" s="8" t="s">
        <v>31</v>
      </c>
      <c r="B11" s="9">
        <v>46027</v>
      </c>
      <c r="C11" s="9" t="s">
        <v>23</v>
      </c>
      <c r="D11" s="9" t="s">
        <v>32</v>
      </c>
      <c r="E11" s="9">
        <v>500</v>
      </c>
      <c r="F11" s="9">
        <v>12.5</v>
      </c>
      <c r="G11" s="9">
        <v>6250</v>
      </c>
      <c r="H11" s="10">
        <v>6250</v>
      </c>
    </row>
    <row r="12" spans="1:8" x14ac:dyDescent="0.4">
      <c r="A12" s="8" t="s">
        <v>33</v>
      </c>
      <c r="B12" s="9">
        <v>46028</v>
      </c>
      <c r="C12" s="9" t="s">
        <v>12</v>
      </c>
      <c r="D12" s="9" t="s">
        <v>34</v>
      </c>
      <c r="E12" s="9">
        <v>175</v>
      </c>
      <c r="F12" s="9" t="s">
        <v>35</v>
      </c>
      <c r="G12" s="9">
        <v>15400</v>
      </c>
      <c r="H12" s="10">
        <v>15400</v>
      </c>
    </row>
    <row r="13" spans="1:8" x14ac:dyDescent="0.4">
      <c r="A13" s="8" t="s">
        <v>36</v>
      </c>
      <c r="B13" s="9">
        <v>46028</v>
      </c>
      <c r="C13" s="9" t="s">
        <v>9</v>
      </c>
      <c r="D13" s="9" t="s">
        <v>37</v>
      </c>
      <c r="E13" s="9">
        <v>0</v>
      </c>
      <c r="F13" s="9">
        <v>210</v>
      </c>
      <c r="G13" s="9" t="e">
        <v>#DIV/0!</v>
      </c>
      <c r="H13" s="10">
        <v>0</v>
      </c>
    </row>
    <row r="14" spans="1:8" x14ac:dyDescent="0.4">
      <c r="A14" s="8" t="s">
        <v>38</v>
      </c>
      <c r="B14" s="9">
        <v>46029</v>
      </c>
      <c r="C14" s="9" t="s">
        <v>17</v>
      </c>
      <c r="D14" s="9" t="s">
        <v>39</v>
      </c>
      <c r="E14" s="9">
        <v>90</v>
      </c>
      <c r="F14" s="9">
        <v>140</v>
      </c>
      <c r="G14" s="9">
        <v>12600</v>
      </c>
      <c r="H14" s="10">
        <v>12600</v>
      </c>
    </row>
    <row r="15" spans="1:8" x14ac:dyDescent="0.4">
      <c r="A15" s="8" t="s">
        <v>40</v>
      </c>
      <c r="B15" s="9">
        <v>46029</v>
      </c>
      <c r="C15" s="9" t="s">
        <v>9</v>
      </c>
      <c r="D15" s="9" t="s">
        <v>41</v>
      </c>
      <c r="E15" s="9">
        <v>220</v>
      </c>
      <c r="F15" s="9">
        <v>35</v>
      </c>
      <c r="G15" s="9">
        <v>7700</v>
      </c>
      <c r="H15" s="10">
        <v>7700</v>
      </c>
    </row>
    <row r="16" spans="1:8" x14ac:dyDescent="0.4">
      <c r="A16" s="8" t="s">
        <v>42</v>
      </c>
      <c r="B16" s="9">
        <v>46030</v>
      </c>
      <c r="C16" s="9" t="s">
        <v>23</v>
      </c>
      <c r="D16" s="9" t="s">
        <v>13</v>
      </c>
      <c r="E16" s="9">
        <v>110</v>
      </c>
      <c r="F16" s="9" t="e">
        <v>#N/A</v>
      </c>
      <c r="G16" s="9" t="e">
        <v>#N/A</v>
      </c>
      <c r="H16" s="10">
        <v>5500</v>
      </c>
    </row>
    <row r="17" spans="1:8" x14ac:dyDescent="0.4">
      <c r="A17" s="8" t="s">
        <v>43</v>
      </c>
      <c r="B17" s="9">
        <v>46030</v>
      </c>
      <c r="C17" s="9" t="s">
        <v>12</v>
      </c>
      <c r="D17" s="9" t="s">
        <v>44</v>
      </c>
      <c r="E17" s="9" t="s">
        <v>45</v>
      </c>
      <c r="F17" s="9">
        <v>62</v>
      </c>
      <c r="G17" s="9" t="e">
        <v>#VALUE!</v>
      </c>
      <c r="H17" s="10">
        <v>3100</v>
      </c>
    </row>
    <row r="18" spans="1:8" x14ac:dyDescent="0.4">
      <c r="A18" s="8" t="s">
        <v>46</v>
      </c>
      <c r="B18" s="9">
        <v>46031</v>
      </c>
      <c r="C18" s="9" t="s">
        <v>17</v>
      </c>
      <c r="D18" s="9" t="s">
        <v>47</v>
      </c>
      <c r="E18" s="9">
        <v>400</v>
      </c>
      <c r="F18" s="9">
        <v>18</v>
      </c>
      <c r="G18" s="9">
        <v>7200</v>
      </c>
      <c r="H18" s="10">
        <v>7200</v>
      </c>
    </row>
    <row r="19" spans="1:8" x14ac:dyDescent="0.4">
      <c r="A19" s="8" t="s">
        <v>48</v>
      </c>
      <c r="B19" s="9">
        <v>46031</v>
      </c>
      <c r="C19" s="9" t="s">
        <v>9</v>
      </c>
      <c r="D19" s="9" t="s">
        <v>49</v>
      </c>
      <c r="E19" s="9">
        <v>60</v>
      </c>
      <c r="F19" s="9">
        <v>450</v>
      </c>
      <c r="G19" s="9">
        <v>27000</v>
      </c>
      <c r="H19" s="10">
        <v>27000</v>
      </c>
    </row>
    <row r="20" spans="1:8" x14ac:dyDescent="0.4">
      <c r="A20" s="8" t="s">
        <v>50</v>
      </c>
      <c r="B20" s="9">
        <v>46032</v>
      </c>
      <c r="C20" s="9" t="s">
        <v>23</v>
      </c>
      <c r="D20" s="9" t="s">
        <v>51</v>
      </c>
      <c r="E20" s="9">
        <v>0</v>
      </c>
      <c r="F20" s="9">
        <v>175</v>
      </c>
      <c r="G20" s="9" t="e">
        <v>#DIV/0!</v>
      </c>
      <c r="H20" s="10">
        <v>0</v>
      </c>
    </row>
    <row r="21" spans="1:8" x14ac:dyDescent="0.4">
      <c r="A21" s="8" t="s">
        <v>52</v>
      </c>
      <c r="B21" s="9">
        <v>46032</v>
      </c>
      <c r="C21" s="9" t="s">
        <v>12</v>
      </c>
      <c r="D21" s="9" t="s">
        <v>53</v>
      </c>
      <c r="E21" s="9">
        <v>130</v>
      </c>
      <c r="F21" s="9" t="s">
        <v>54</v>
      </c>
      <c r="G21" s="9">
        <v>6760</v>
      </c>
      <c r="H21" s="10">
        <v>6760</v>
      </c>
    </row>
    <row r="22" spans="1:8" x14ac:dyDescent="0.4">
      <c r="A22" s="8" t="s">
        <v>55</v>
      </c>
      <c r="B22" s="9">
        <v>46033</v>
      </c>
      <c r="C22" s="9" t="s">
        <v>17</v>
      </c>
      <c r="D22" s="9" t="s">
        <v>56</v>
      </c>
      <c r="E22" s="9">
        <v>250</v>
      </c>
      <c r="F22" s="9">
        <v>24</v>
      </c>
      <c r="G22" s="9">
        <v>6000</v>
      </c>
      <c r="H22" s="10">
        <v>6000</v>
      </c>
    </row>
    <row r="23" spans="1:8" x14ac:dyDescent="0.4">
      <c r="A23" s="8" t="s">
        <v>57</v>
      </c>
      <c r="B23" s="9">
        <v>46033</v>
      </c>
      <c r="C23" s="9" t="s">
        <v>9</v>
      </c>
      <c r="D23" s="9" t="s">
        <v>13</v>
      </c>
      <c r="E23" s="9">
        <v>95</v>
      </c>
      <c r="F23" s="9" t="e">
        <v>#N/A</v>
      </c>
      <c r="G23" s="9" t="e">
        <v>#N/A</v>
      </c>
      <c r="H23" s="10">
        <v>4750</v>
      </c>
    </row>
    <row r="24" spans="1:8" x14ac:dyDescent="0.4">
      <c r="A24" s="8" t="s">
        <v>58</v>
      </c>
      <c r="B24" s="9">
        <v>46034</v>
      </c>
      <c r="C24" s="9" t="s">
        <v>23</v>
      </c>
      <c r="D24" s="9" t="s">
        <v>59</v>
      </c>
      <c r="E24" s="9">
        <v>310</v>
      </c>
      <c r="F24" s="9">
        <v>40</v>
      </c>
      <c r="G24" s="9">
        <v>12400</v>
      </c>
      <c r="H24" s="10">
        <v>12400</v>
      </c>
    </row>
    <row r="25" spans="1:8" x14ac:dyDescent="0.4">
      <c r="A25" s="8" t="s">
        <v>60</v>
      </c>
      <c r="B25" s="9">
        <v>46034</v>
      </c>
      <c r="C25" s="9" t="s">
        <v>12</v>
      </c>
      <c r="D25" s="9" t="s">
        <v>61</v>
      </c>
      <c r="E25" s="9" t="s">
        <v>62</v>
      </c>
      <c r="F25" s="9">
        <v>115</v>
      </c>
      <c r="G25" s="9" t="e">
        <v>#VALUE!</v>
      </c>
      <c r="H25" s="10">
        <v>5750</v>
      </c>
    </row>
    <row r="26" spans="1:8" x14ac:dyDescent="0.4">
      <c r="A26" s="8" t="s">
        <v>63</v>
      </c>
      <c r="B26" s="9">
        <v>46035</v>
      </c>
      <c r="C26" s="9" t="s">
        <v>17</v>
      </c>
      <c r="D26" s="9" t="s">
        <v>64</v>
      </c>
      <c r="E26" s="9">
        <v>180</v>
      </c>
      <c r="F26" s="9">
        <v>85</v>
      </c>
      <c r="G26" s="9">
        <v>15300</v>
      </c>
      <c r="H26" s="10">
        <v>15300</v>
      </c>
    </row>
    <row r="27" spans="1:8" x14ac:dyDescent="0.4">
      <c r="A27" s="8" t="s">
        <v>65</v>
      </c>
      <c r="B27" s="9">
        <v>46035</v>
      </c>
      <c r="C27" s="9" t="s">
        <v>9</v>
      </c>
      <c r="D27" s="9" t="s">
        <v>66</v>
      </c>
      <c r="E27" s="9">
        <v>140</v>
      </c>
      <c r="F27" s="9">
        <v>55</v>
      </c>
      <c r="G27" s="9">
        <v>7700</v>
      </c>
      <c r="H27" s="10">
        <v>7700</v>
      </c>
    </row>
    <row r="28" spans="1:8" x14ac:dyDescent="0.4">
      <c r="A28" s="8" t="s">
        <v>67</v>
      </c>
      <c r="B28" s="9">
        <v>46036</v>
      </c>
      <c r="C28" s="9" t="s">
        <v>12</v>
      </c>
      <c r="D28" s="9" t="s">
        <v>13</v>
      </c>
      <c r="E28" s="9">
        <v>65</v>
      </c>
      <c r="F28" s="9" t="e">
        <v>#N/A</v>
      </c>
      <c r="G28" s="9" t="e">
        <v>#N/A</v>
      </c>
      <c r="H28" s="10">
        <v>2600</v>
      </c>
    </row>
    <row r="29" spans="1:8" x14ac:dyDescent="0.4">
      <c r="A29" s="8" t="s">
        <v>68</v>
      </c>
      <c r="B29" s="9">
        <v>46036</v>
      </c>
      <c r="C29" s="9" t="s">
        <v>9</v>
      </c>
      <c r="D29" s="9" t="s">
        <v>69</v>
      </c>
      <c r="E29" s="9">
        <v>0</v>
      </c>
      <c r="F29" s="9">
        <v>145</v>
      </c>
      <c r="G29" s="9" t="e">
        <v>#DIV/0!</v>
      </c>
      <c r="H29" s="10">
        <v>0</v>
      </c>
    </row>
    <row r="30" spans="1:8" x14ac:dyDescent="0.4">
      <c r="A30" s="8" t="s">
        <v>70</v>
      </c>
      <c r="B30" s="9">
        <v>46037</v>
      </c>
      <c r="C30" s="9" t="s">
        <v>17</v>
      </c>
      <c r="D30" s="9" t="s">
        <v>71</v>
      </c>
      <c r="E30" s="9">
        <v>210</v>
      </c>
      <c r="F30" s="9" t="s">
        <v>72</v>
      </c>
      <c r="G30" s="9">
        <v>3885</v>
      </c>
      <c r="H30" s="10">
        <v>3885</v>
      </c>
    </row>
    <row r="31" spans="1:8" x14ac:dyDescent="0.4">
      <c r="A31" s="8" t="s">
        <v>73</v>
      </c>
      <c r="B31" s="9">
        <v>46037</v>
      </c>
      <c r="C31" s="9" t="s">
        <v>9</v>
      </c>
      <c r="D31" s="9" t="s">
        <v>74</v>
      </c>
      <c r="E31" s="9">
        <v>45</v>
      </c>
      <c r="F31" s="9">
        <v>290</v>
      </c>
      <c r="G31" s="9">
        <v>13050</v>
      </c>
      <c r="H31" s="10">
        <v>13050</v>
      </c>
    </row>
    <row r="32" spans="1:8" x14ac:dyDescent="0.4">
      <c r="A32" s="8" t="s">
        <v>75</v>
      </c>
      <c r="B32" s="9">
        <v>46038</v>
      </c>
      <c r="C32" s="9" t="s">
        <v>23</v>
      </c>
      <c r="D32" s="9" t="s">
        <v>76</v>
      </c>
      <c r="E32" s="9" t="s">
        <v>77</v>
      </c>
      <c r="F32" s="9">
        <v>80</v>
      </c>
      <c r="G32" s="9" t="e">
        <v>#VALUE!</v>
      </c>
      <c r="H32" s="10">
        <v>2000</v>
      </c>
    </row>
    <row r="33" spans="1:8" x14ac:dyDescent="0.4">
      <c r="A33" s="8" t="s">
        <v>78</v>
      </c>
      <c r="B33" s="9">
        <v>46038</v>
      </c>
      <c r="C33" s="9" t="s">
        <v>12</v>
      </c>
      <c r="D33" s="9" t="s">
        <v>79</v>
      </c>
      <c r="E33" s="9">
        <v>110</v>
      </c>
      <c r="F33" s="9">
        <v>105</v>
      </c>
      <c r="G33" s="9">
        <v>11550</v>
      </c>
      <c r="H33" s="10">
        <v>11550</v>
      </c>
    </row>
    <row r="34" spans="1:8" x14ac:dyDescent="0.4">
      <c r="A34" s="8" t="s">
        <v>80</v>
      </c>
      <c r="B34" s="9">
        <v>46039</v>
      </c>
      <c r="C34" s="9" t="s">
        <v>17</v>
      </c>
      <c r="D34" s="9" t="s">
        <v>81</v>
      </c>
      <c r="E34" s="9">
        <v>280</v>
      </c>
      <c r="F34" s="9">
        <v>0</v>
      </c>
      <c r="G34" s="9" t="e">
        <v>#DIV/0!</v>
      </c>
      <c r="H34" s="10">
        <v>0</v>
      </c>
    </row>
    <row r="35" spans="1:8" x14ac:dyDescent="0.4">
      <c r="A35" s="8" t="s">
        <v>82</v>
      </c>
      <c r="B35" s="9">
        <v>46039</v>
      </c>
      <c r="C35" s="9" t="s">
        <v>9</v>
      </c>
      <c r="D35" s="9" t="s">
        <v>13</v>
      </c>
      <c r="E35" s="9">
        <v>50</v>
      </c>
      <c r="F35" s="9" t="e">
        <v>#N/A</v>
      </c>
      <c r="G35" s="9" t="e">
        <v>#N/A</v>
      </c>
      <c r="H35" s="10">
        <v>2250</v>
      </c>
    </row>
    <row r="36" spans="1:8" x14ac:dyDescent="0.4">
      <c r="A36" s="8" t="s">
        <v>83</v>
      </c>
      <c r="B36" s="9">
        <v>46040</v>
      </c>
      <c r="C36" s="9" t="s">
        <v>23</v>
      </c>
      <c r="D36" s="9" t="s">
        <v>84</v>
      </c>
      <c r="E36" s="9">
        <v>450</v>
      </c>
      <c r="F36" s="9">
        <v>15</v>
      </c>
      <c r="G36" s="9">
        <v>6750</v>
      </c>
      <c r="H36" s="10">
        <v>6750</v>
      </c>
    </row>
    <row r="37" spans="1:8" x14ac:dyDescent="0.4">
      <c r="A37" s="8" t="s">
        <v>85</v>
      </c>
      <c r="B37" s="9">
        <v>46040</v>
      </c>
      <c r="C37" s="9" t="s">
        <v>12</v>
      </c>
      <c r="D37" s="9" t="s">
        <v>86</v>
      </c>
      <c r="E37" s="9">
        <v>160</v>
      </c>
      <c r="F37" s="9" t="s">
        <v>87</v>
      </c>
      <c r="G37" s="9">
        <v>14720</v>
      </c>
      <c r="H37" s="10">
        <v>14720</v>
      </c>
    </row>
    <row r="38" spans="1:8" x14ac:dyDescent="0.4">
      <c r="A38" s="8" t="s">
        <v>88</v>
      </c>
      <c r="B38" s="9">
        <v>46041</v>
      </c>
      <c r="C38" s="9" t="s">
        <v>9</v>
      </c>
      <c r="D38" s="9" t="s">
        <v>89</v>
      </c>
      <c r="E38" s="9">
        <v>0</v>
      </c>
      <c r="F38" s="9">
        <v>230</v>
      </c>
      <c r="G38" s="9" t="e">
        <v>#DIV/0!</v>
      </c>
      <c r="H38" s="10">
        <v>0</v>
      </c>
    </row>
    <row r="39" spans="1:8" x14ac:dyDescent="0.4">
      <c r="A39" s="8" t="s">
        <v>90</v>
      </c>
      <c r="B39" s="9">
        <v>46041</v>
      </c>
      <c r="C39" s="9" t="s">
        <v>17</v>
      </c>
      <c r="D39" s="9" t="s">
        <v>91</v>
      </c>
      <c r="E39" s="9">
        <v>85</v>
      </c>
      <c r="F39" s="9">
        <v>155</v>
      </c>
      <c r="G39" s="9">
        <v>13175</v>
      </c>
      <c r="H39" s="10">
        <v>13175</v>
      </c>
    </row>
    <row r="40" spans="1:8" x14ac:dyDescent="0.4">
      <c r="A40" s="8" t="s">
        <v>92</v>
      </c>
      <c r="B40" s="9">
        <v>46042</v>
      </c>
      <c r="C40" s="9" t="s">
        <v>9</v>
      </c>
      <c r="D40" s="9" t="s">
        <v>93</v>
      </c>
      <c r="E40" s="9">
        <v>230</v>
      </c>
      <c r="F40" s="9">
        <v>42</v>
      </c>
      <c r="G40" s="9">
        <v>9660</v>
      </c>
      <c r="H40" s="10">
        <v>9660</v>
      </c>
    </row>
    <row r="41" spans="1:8" x14ac:dyDescent="0.4">
      <c r="A41" s="8" t="s">
        <v>94</v>
      </c>
      <c r="B41" s="9">
        <v>46042</v>
      </c>
      <c r="C41" s="9" t="s">
        <v>23</v>
      </c>
      <c r="D41" s="9" t="s">
        <v>13</v>
      </c>
      <c r="E41" s="9">
        <v>100</v>
      </c>
      <c r="F41" s="9" t="e">
        <v>#N/A</v>
      </c>
      <c r="G41" s="9" t="e">
        <v>#N/A</v>
      </c>
      <c r="H41" s="10">
        <v>5000</v>
      </c>
    </row>
    <row r="42" spans="1:8" x14ac:dyDescent="0.4">
      <c r="A42" s="8" t="s">
        <v>95</v>
      </c>
      <c r="B42" s="9">
        <v>46043</v>
      </c>
      <c r="C42" s="9" t="s">
        <v>12</v>
      </c>
      <c r="D42" s="9" t="s">
        <v>96</v>
      </c>
      <c r="E42" s="9" t="s">
        <v>97</v>
      </c>
      <c r="F42" s="9">
        <v>68</v>
      </c>
      <c r="G42" s="9" t="e">
        <v>#VALUE!</v>
      </c>
      <c r="H42" s="10">
        <v>3400</v>
      </c>
    </row>
    <row r="43" spans="1:8" x14ac:dyDescent="0.4">
      <c r="A43" s="8" t="s">
        <v>98</v>
      </c>
      <c r="B43" s="9">
        <v>46043</v>
      </c>
      <c r="C43" s="9" t="s">
        <v>17</v>
      </c>
      <c r="D43" s="9" t="s">
        <v>99</v>
      </c>
      <c r="E43" s="9">
        <v>380</v>
      </c>
      <c r="F43" s="9">
        <v>22</v>
      </c>
      <c r="G43" s="9">
        <v>8360</v>
      </c>
      <c r="H43" s="10">
        <v>8360</v>
      </c>
    </row>
    <row r="44" spans="1:8" x14ac:dyDescent="0.4">
      <c r="A44" s="8" t="s">
        <v>100</v>
      </c>
      <c r="B44" s="9">
        <v>46044</v>
      </c>
      <c r="C44" s="9" t="s">
        <v>9</v>
      </c>
      <c r="D44" s="9" t="s">
        <v>101</v>
      </c>
      <c r="E44" s="9">
        <v>55</v>
      </c>
      <c r="F44" s="9">
        <v>480</v>
      </c>
      <c r="G44" s="9">
        <v>26400</v>
      </c>
      <c r="H44" s="10">
        <v>26400</v>
      </c>
    </row>
    <row r="45" spans="1:8" x14ac:dyDescent="0.4">
      <c r="A45" s="8" t="s">
        <v>102</v>
      </c>
      <c r="B45" s="9">
        <v>46044</v>
      </c>
      <c r="C45" s="9" t="s">
        <v>23</v>
      </c>
      <c r="D45" s="9" t="s">
        <v>103</v>
      </c>
      <c r="E45" s="9">
        <v>0</v>
      </c>
      <c r="F45" s="9">
        <v>190</v>
      </c>
      <c r="G45" s="9" t="e">
        <v>#DIV/0!</v>
      </c>
      <c r="H45" s="10">
        <v>0</v>
      </c>
    </row>
    <row r="46" spans="1:8" x14ac:dyDescent="0.4">
      <c r="A46" s="8" t="s">
        <v>104</v>
      </c>
      <c r="B46" s="9">
        <v>46045</v>
      </c>
      <c r="C46" s="9" t="s">
        <v>12</v>
      </c>
      <c r="D46" s="9" t="s">
        <v>105</v>
      </c>
      <c r="E46" s="9">
        <v>125</v>
      </c>
      <c r="F46" s="9" t="s">
        <v>106</v>
      </c>
      <c r="G46" s="9">
        <v>7500</v>
      </c>
      <c r="H46" s="10">
        <v>7500</v>
      </c>
    </row>
    <row r="47" spans="1:8" x14ac:dyDescent="0.4">
      <c r="A47" s="8" t="s">
        <v>107</v>
      </c>
      <c r="B47" s="9">
        <v>46045</v>
      </c>
      <c r="C47" s="9" t="s">
        <v>17</v>
      </c>
      <c r="D47" s="9" t="s">
        <v>108</v>
      </c>
      <c r="E47" s="9">
        <v>240</v>
      </c>
      <c r="F47" s="9">
        <v>28</v>
      </c>
      <c r="G47" s="9">
        <v>6720</v>
      </c>
      <c r="H47" s="10">
        <v>6720</v>
      </c>
    </row>
    <row r="48" spans="1:8" x14ac:dyDescent="0.4">
      <c r="A48" s="8" t="s">
        <v>109</v>
      </c>
      <c r="B48" s="9">
        <v>46046</v>
      </c>
      <c r="C48" s="9" t="s">
        <v>9</v>
      </c>
      <c r="D48" s="9" t="s">
        <v>13</v>
      </c>
      <c r="E48" s="9">
        <v>90</v>
      </c>
      <c r="F48" s="9" t="e">
        <v>#N/A</v>
      </c>
      <c r="G48" s="9" t="e">
        <v>#N/A</v>
      </c>
      <c r="H48" s="10">
        <v>4500</v>
      </c>
    </row>
    <row r="49" spans="1:8" x14ac:dyDescent="0.4">
      <c r="A49" s="8" t="s">
        <v>110</v>
      </c>
      <c r="B49" s="9">
        <v>46046</v>
      </c>
      <c r="C49" s="9" t="s">
        <v>23</v>
      </c>
      <c r="D49" s="9" t="s">
        <v>111</v>
      </c>
      <c r="E49" s="9">
        <v>300</v>
      </c>
      <c r="F49" s="9">
        <v>48</v>
      </c>
      <c r="G49" s="9">
        <v>14400</v>
      </c>
      <c r="H49" s="10">
        <v>14400</v>
      </c>
    </row>
    <row r="50" spans="1:8" x14ac:dyDescent="0.4">
      <c r="A50" s="8" t="s">
        <v>112</v>
      </c>
      <c r="B50" s="9">
        <v>46047</v>
      </c>
      <c r="C50" s="9" t="s">
        <v>12</v>
      </c>
      <c r="D50" s="9" t="s">
        <v>113</v>
      </c>
      <c r="E50" s="9" t="s">
        <v>114</v>
      </c>
      <c r="F50" s="9">
        <v>120</v>
      </c>
      <c r="G50" s="9" t="e">
        <v>#VALUE!</v>
      </c>
      <c r="H50" s="10">
        <v>6000</v>
      </c>
    </row>
    <row r="51" spans="1:8" x14ac:dyDescent="0.4">
      <c r="A51" s="8" t="s">
        <v>115</v>
      </c>
      <c r="B51" s="9">
        <v>46047</v>
      </c>
      <c r="C51" s="9" t="s">
        <v>17</v>
      </c>
      <c r="D51" s="9" t="s">
        <v>116</v>
      </c>
      <c r="E51" s="9">
        <v>170</v>
      </c>
      <c r="F51" s="9">
        <v>90</v>
      </c>
      <c r="G51" s="9">
        <v>15300</v>
      </c>
      <c r="H51" s="10">
        <v>15300</v>
      </c>
    </row>
    <row r="52" spans="1:8" x14ac:dyDescent="0.4">
      <c r="A52" s="8" t="s">
        <v>117</v>
      </c>
      <c r="B52" s="9">
        <v>46048</v>
      </c>
      <c r="C52" s="9" t="s">
        <v>9</v>
      </c>
      <c r="D52" s="9" t="s">
        <v>118</v>
      </c>
      <c r="E52" s="9">
        <v>130</v>
      </c>
      <c r="F52" s="9">
        <v>48</v>
      </c>
      <c r="G52" s="9">
        <v>6240</v>
      </c>
      <c r="H52" s="10">
        <v>6240</v>
      </c>
    </row>
    <row r="53" spans="1:8" x14ac:dyDescent="0.4">
      <c r="A53" s="8" t="s">
        <v>119</v>
      </c>
      <c r="B53" s="9">
        <v>46048</v>
      </c>
      <c r="C53" s="9" t="s">
        <v>12</v>
      </c>
      <c r="D53" s="9" t="s">
        <v>13</v>
      </c>
      <c r="E53" s="9">
        <v>75</v>
      </c>
      <c r="F53" s="9" t="e">
        <v>#N/A</v>
      </c>
      <c r="G53" s="9" t="e">
        <v>#N/A</v>
      </c>
      <c r="H53" s="10">
        <v>3000</v>
      </c>
    </row>
    <row r="54" spans="1:8" x14ac:dyDescent="0.4">
      <c r="A54" s="8" t="s">
        <v>120</v>
      </c>
      <c r="B54" s="9">
        <v>46049</v>
      </c>
      <c r="C54" s="9" t="s">
        <v>9</v>
      </c>
      <c r="D54" s="9" t="s">
        <v>121</v>
      </c>
      <c r="E54" s="9">
        <v>0</v>
      </c>
      <c r="F54" s="9">
        <v>110</v>
      </c>
      <c r="G54" s="9" t="e">
        <v>#DIV/0!</v>
      </c>
      <c r="H54" s="10">
        <v>0</v>
      </c>
    </row>
    <row r="55" spans="1:8" x14ac:dyDescent="0.4">
      <c r="A55" s="8" t="s">
        <v>122</v>
      </c>
      <c r="B55" s="9">
        <v>46049</v>
      </c>
      <c r="C55" s="9" t="s">
        <v>17</v>
      </c>
      <c r="D55" s="9" t="s">
        <v>123</v>
      </c>
      <c r="E55" s="9">
        <v>190</v>
      </c>
      <c r="F55" s="9" t="s">
        <v>124</v>
      </c>
      <c r="G55" s="9">
        <v>3040</v>
      </c>
      <c r="H55" s="10">
        <v>3040</v>
      </c>
    </row>
    <row r="56" spans="1:8" x14ac:dyDescent="0.4">
      <c r="A56" s="8" t="s">
        <v>125</v>
      </c>
      <c r="B56" s="9">
        <v>46050</v>
      </c>
      <c r="C56" s="9" t="s">
        <v>9</v>
      </c>
      <c r="D56" s="9" t="s">
        <v>126</v>
      </c>
      <c r="E56" s="9">
        <v>60</v>
      </c>
      <c r="F56" s="9">
        <v>320</v>
      </c>
      <c r="G56" s="9">
        <v>19200</v>
      </c>
      <c r="H56" s="10">
        <v>19200</v>
      </c>
    </row>
    <row r="57" spans="1:8" x14ac:dyDescent="0.4">
      <c r="A57" s="8" t="s">
        <v>127</v>
      </c>
      <c r="B57" s="9">
        <v>46050</v>
      </c>
      <c r="C57" s="9" t="s">
        <v>23</v>
      </c>
      <c r="D57" s="9" t="s">
        <v>128</v>
      </c>
      <c r="E57" s="9" t="s">
        <v>129</v>
      </c>
      <c r="F57" s="9">
        <v>70</v>
      </c>
      <c r="G57" s="9" t="e">
        <v>#VALUE!</v>
      </c>
      <c r="H57" s="10">
        <v>1750</v>
      </c>
    </row>
    <row r="58" spans="1:8" x14ac:dyDescent="0.4">
      <c r="A58" s="8" t="s">
        <v>130</v>
      </c>
      <c r="B58" s="9">
        <v>46051</v>
      </c>
      <c r="C58" s="9" t="s">
        <v>12</v>
      </c>
      <c r="D58" s="9" t="s">
        <v>131</v>
      </c>
      <c r="E58" s="9">
        <v>100</v>
      </c>
      <c r="F58" s="9">
        <v>85</v>
      </c>
      <c r="G58" s="9">
        <v>8500</v>
      </c>
      <c r="H58" s="10">
        <v>8500</v>
      </c>
    </row>
    <row r="59" spans="1:8" x14ac:dyDescent="0.4">
      <c r="A59" s="8" t="s">
        <v>132</v>
      </c>
      <c r="B59" s="9">
        <v>46051</v>
      </c>
      <c r="C59" s="9" t="s">
        <v>17</v>
      </c>
      <c r="D59" s="9" t="s">
        <v>133</v>
      </c>
      <c r="E59" s="9">
        <v>260</v>
      </c>
      <c r="F59" s="9">
        <v>0</v>
      </c>
      <c r="G59" s="9" t="e">
        <v>#DIV/0!</v>
      </c>
      <c r="H59" s="10">
        <v>0</v>
      </c>
    </row>
    <row r="60" spans="1:8" x14ac:dyDescent="0.4">
      <c r="A60" s="8" t="s">
        <v>134</v>
      </c>
      <c r="B60" s="9">
        <v>46052</v>
      </c>
      <c r="C60" s="9" t="s">
        <v>9</v>
      </c>
      <c r="D60" s="9" t="s">
        <v>13</v>
      </c>
      <c r="E60" s="9">
        <v>40</v>
      </c>
      <c r="F60" s="9" t="e">
        <v>#N/A</v>
      </c>
      <c r="G60" s="9" t="e">
        <v>#N/A</v>
      </c>
      <c r="H60" s="10">
        <v>1600</v>
      </c>
    </row>
    <row r="61" spans="1:8" x14ac:dyDescent="0.4">
      <c r="A61" s="8" t="s">
        <v>135</v>
      </c>
      <c r="B61" s="9">
        <v>46052</v>
      </c>
      <c r="C61" s="9" t="s">
        <v>23</v>
      </c>
      <c r="D61" s="9" t="s">
        <v>136</v>
      </c>
      <c r="E61" s="9">
        <v>420</v>
      </c>
      <c r="F61" s="9">
        <v>11.5</v>
      </c>
      <c r="G61" s="9">
        <v>4830</v>
      </c>
      <c r="H61" s="10">
        <v>4830</v>
      </c>
    </row>
    <row r="62" spans="1:8" x14ac:dyDescent="0.4">
      <c r="A62" s="8" t="s">
        <v>137</v>
      </c>
      <c r="B62" s="9">
        <v>46053</v>
      </c>
      <c r="C62" s="9" t="s">
        <v>12</v>
      </c>
      <c r="D62" s="9" t="s">
        <v>138</v>
      </c>
      <c r="E62" s="9">
        <v>150</v>
      </c>
      <c r="F62" s="9" t="s">
        <v>139</v>
      </c>
      <c r="G62" s="9">
        <v>14250</v>
      </c>
      <c r="H62" s="10">
        <v>14250</v>
      </c>
    </row>
    <row r="63" spans="1:8" x14ac:dyDescent="0.4">
      <c r="A63" s="8" t="s">
        <v>140</v>
      </c>
      <c r="B63" s="9">
        <v>46053</v>
      </c>
      <c r="C63" s="9" t="s">
        <v>9</v>
      </c>
      <c r="D63" s="9" t="s">
        <v>141</v>
      </c>
      <c r="E63" s="9">
        <v>0</v>
      </c>
      <c r="F63" s="9">
        <v>200</v>
      </c>
      <c r="G63" s="9" t="e">
        <v>#DIV/0!</v>
      </c>
      <c r="H63" s="10">
        <v>0</v>
      </c>
    </row>
    <row r="64" spans="1:8" x14ac:dyDescent="0.4">
      <c r="A64" s="8" t="s">
        <v>142</v>
      </c>
      <c r="B64" s="9">
        <v>46054</v>
      </c>
      <c r="C64" s="9" t="s">
        <v>17</v>
      </c>
      <c r="D64" s="9" t="s">
        <v>143</v>
      </c>
      <c r="E64" s="9">
        <v>80</v>
      </c>
      <c r="F64" s="9">
        <v>135</v>
      </c>
      <c r="G64" s="9">
        <v>10800</v>
      </c>
      <c r="H64" s="10">
        <v>10800</v>
      </c>
    </row>
    <row r="65" spans="1:8" x14ac:dyDescent="0.4">
      <c r="A65" s="8" t="s">
        <v>144</v>
      </c>
      <c r="B65" s="9">
        <v>46054</v>
      </c>
      <c r="C65" s="9" t="s">
        <v>9</v>
      </c>
      <c r="D65" s="9" t="s">
        <v>145</v>
      </c>
      <c r="E65" s="9">
        <v>210</v>
      </c>
      <c r="F65" s="9">
        <v>32</v>
      </c>
      <c r="G65" s="9">
        <v>6720</v>
      </c>
      <c r="H65" s="10">
        <v>6720</v>
      </c>
    </row>
    <row r="66" spans="1:8" x14ac:dyDescent="0.4">
      <c r="A66" s="8" t="s">
        <v>146</v>
      </c>
      <c r="B66" s="9">
        <v>46055</v>
      </c>
      <c r="C66" s="9" t="s">
        <v>23</v>
      </c>
      <c r="D66" s="9" t="s">
        <v>13</v>
      </c>
      <c r="E66" s="9">
        <v>105</v>
      </c>
      <c r="F66" s="9" t="e">
        <v>#N/A</v>
      </c>
      <c r="G66" s="9" t="e">
        <v>#N/A</v>
      </c>
      <c r="H66" s="10">
        <v>5250</v>
      </c>
    </row>
    <row r="67" spans="1:8" x14ac:dyDescent="0.4">
      <c r="A67" s="8" t="s">
        <v>147</v>
      </c>
      <c r="B67" s="9">
        <v>46055</v>
      </c>
      <c r="C67" s="9" t="s">
        <v>12</v>
      </c>
      <c r="D67" s="9" t="s">
        <v>148</v>
      </c>
      <c r="E67" s="9" t="s">
        <v>149</v>
      </c>
      <c r="F67" s="9">
        <v>65</v>
      </c>
      <c r="G67" s="9" t="e">
        <v>#VALUE!</v>
      </c>
      <c r="H67" s="10">
        <v>3250</v>
      </c>
    </row>
    <row r="68" spans="1:8" x14ac:dyDescent="0.4">
      <c r="A68" s="8" t="s">
        <v>150</v>
      </c>
      <c r="B68" s="9">
        <v>46056</v>
      </c>
      <c r="C68" s="9" t="s">
        <v>17</v>
      </c>
      <c r="D68" s="9" t="s">
        <v>151</v>
      </c>
      <c r="E68" s="9">
        <v>390</v>
      </c>
      <c r="F68" s="9">
        <v>19</v>
      </c>
      <c r="G68" s="9">
        <v>7410</v>
      </c>
      <c r="H68" s="10">
        <v>7410</v>
      </c>
    </row>
    <row r="69" spans="1:8" x14ac:dyDescent="0.4">
      <c r="A69" s="8" t="s">
        <v>152</v>
      </c>
      <c r="B69" s="9">
        <v>46056</v>
      </c>
      <c r="C69" s="9" t="s">
        <v>9</v>
      </c>
      <c r="D69" s="9" t="s">
        <v>153</v>
      </c>
      <c r="E69" s="9">
        <v>50</v>
      </c>
      <c r="F69" s="9">
        <v>420</v>
      </c>
      <c r="G69" s="9">
        <v>21000</v>
      </c>
      <c r="H69" s="10">
        <v>21000</v>
      </c>
    </row>
    <row r="70" spans="1:8" x14ac:dyDescent="0.4">
      <c r="A70" s="8" t="s">
        <v>154</v>
      </c>
      <c r="B70" s="9">
        <v>46057</v>
      </c>
      <c r="C70" s="9" t="s">
        <v>23</v>
      </c>
      <c r="D70" s="9" t="s">
        <v>155</v>
      </c>
      <c r="E70" s="9">
        <v>0</v>
      </c>
      <c r="F70" s="9">
        <v>165</v>
      </c>
      <c r="G70" s="9" t="e">
        <v>#DIV/0!</v>
      </c>
      <c r="H70" s="10">
        <v>0</v>
      </c>
    </row>
    <row r="71" spans="1:8" x14ac:dyDescent="0.4">
      <c r="A71" s="8" t="s">
        <v>156</v>
      </c>
      <c r="B71" s="9">
        <v>46057</v>
      </c>
      <c r="C71" s="9" t="s">
        <v>12</v>
      </c>
      <c r="D71" s="9" t="s">
        <v>157</v>
      </c>
      <c r="E71" s="9">
        <v>115</v>
      </c>
      <c r="F71" s="9" t="s">
        <v>158</v>
      </c>
      <c r="G71" s="9">
        <v>6670</v>
      </c>
      <c r="H71" s="10">
        <v>6670</v>
      </c>
    </row>
    <row r="72" spans="1:8" x14ac:dyDescent="0.4">
      <c r="A72" s="8" t="s">
        <v>159</v>
      </c>
      <c r="B72" s="9">
        <v>46058</v>
      </c>
      <c r="C72" s="9" t="s">
        <v>17</v>
      </c>
      <c r="D72" s="9" t="s">
        <v>160</v>
      </c>
      <c r="E72" s="9">
        <v>230</v>
      </c>
      <c r="F72" s="9">
        <v>26</v>
      </c>
      <c r="G72" s="9">
        <v>5980</v>
      </c>
      <c r="H72" s="10">
        <v>5980</v>
      </c>
    </row>
    <row r="73" spans="1:8" x14ac:dyDescent="0.4">
      <c r="A73" s="8" t="s">
        <v>161</v>
      </c>
      <c r="B73" s="9">
        <v>46058</v>
      </c>
      <c r="C73" s="9" t="s">
        <v>9</v>
      </c>
      <c r="D73" s="9" t="s">
        <v>13</v>
      </c>
      <c r="E73" s="9">
        <v>85</v>
      </c>
      <c r="F73" s="9" t="e">
        <v>#N/A</v>
      </c>
      <c r="G73" s="9" t="e">
        <v>#N/A</v>
      </c>
      <c r="H73" s="10">
        <v>4250</v>
      </c>
    </row>
    <row r="74" spans="1:8" x14ac:dyDescent="0.4">
      <c r="A74" s="8" t="s">
        <v>162</v>
      </c>
      <c r="B74" s="9">
        <v>46059</v>
      </c>
      <c r="C74" s="9" t="s">
        <v>23</v>
      </c>
      <c r="D74" s="9" t="s">
        <v>163</v>
      </c>
      <c r="E74" s="9">
        <v>290</v>
      </c>
      <c r="F74" s="9">
        <v>44</v>
      </c>
      <c r="G74" s="9">
        <v>12760</v>
      </c>
      <c r="H74" s="10">
        <v>12760</v>
      </c>
    </row>
    <row r="75" spans="1:8" x14ac:dyDescent="0.4">
      <c r="A75" s="8" t="s">
        <v>164</v>
      </c>
      <c r="B75" s="9">
        <v>46059</v>
      </c>
      <c r="C75" s="9" t="s">
        <v>12</v>
      </c>
      <c r="D75" s="9" t="s">
        <v>165</v>
      </c>
      <c r="E75" s="9" t="s">
        <v>166</v>
      </c>
      <c r="F75" s="9">
        <v>110</v>
      </c>
      <c r="G75" s="9" t="e">
        <v>#VALUE!</v>
      </c>
      <c r="H75" s="10">
        <v>5500</v>
      </c>
    </row>
    <row r="76" spans="1:8" x14ac:dyDescent="0.4">
      <c r="A76" s="8" t="s">
        <v>167</v>
      </c>
      <c r="B76" s="9">
        <v>46060</v>
      </c>
      <c r="C76" s="9" t="s">
        <v>17</v>
      </c>
      <c r="D76" s="9" t="s">
        <v>168</v>
      </c>
      <c r="E76" s="9">
        <v>160</v>
      </c>
      <c r="F76" s="9">
        <v>82</v>
      </c>
      <c r="G76" s="9">
        <v>13120</v>
      </c>
      <c r="H76" s="10">
        <v>13120</v>
      </c>
    </row>
    <row r="77" spans="1:8" x14ac:dyDescent="0.4">
      <c r="A77" s="8" t="s">
        <v>169</v>
      </c>
      <c r="B77" s="9">
        <v>46060</v>
      </c>
      <c r="C77" s="9" t="s">
        <v>9</v>
      </c>
      <c r="D77" s="9" t="s">
        <v>170</v>
      </c>
      <c r="E77" s="9">
        <v>125</v>
      </c>
      <c r="F77" s="9">
        <v>52</v>
      </c>
      <c r="G77" s="9">
        <v>6500</v>
      </c>
      <c r="H77" s="10">
        <v>6500</v>
      </c>
    </row>
    <row r="78" spans="1:8" x14ac:dyDescent="0.4">
      <c r="A78" s="8" t="s">
        <v>171</v>
      </c>
      <c r="B78" s="9">
        <v>46061</v>
      </c>
      <c r="C78" s="9" t="s">
        <v>12</v>
      </c>
      <c r="D78" s="9" t="s">
        <v>13</v>
      </c>
      <c r="E78" s="9">
        <v>70</v>
      </c>
      <c r="F78" s="9" t="e">
        <v>#N/A</v>
      </c>
      <c r="G78" s="9" t="e">
        <v>#N/A</v>
      </c>
      <c r="H78" s="10">
        <v>2800</v>
      </c>
    </row>
    <row r="79" spans="1:8" x14ac:dyDescent="0.4">
      <c r="A79" s="8" t="s">
        <v>172</v>
      </c>
      <c r="B79" s="9">
        <v>46061</v>
      </c>
      <c r="C79" s="9" t="s">
        <v>9</v>
      </c>
      <c r="D79" s="9" t="s">
        <v>173</v>
      </c>
      <c r="E79" s="9">
        <v>0</v>
      </c>
      <c r="F79" s="9">
        <v>130</v>
      </c>
      <c r="G79" s="9" t="e">
        <v>#DIV/0!</v>
      </c>
      <c r="H79" s="10">
        <v>0</v>
      </c>
    </row>
    <row r="80" spans="1:8" x14ac:dyDescent="0.4">
      <c r="A80" s="8" t="s">
        <v>174</v>
      </c>
      <c r="B80" s="9">
        <v>46062</v>
      </c>
      <c r="C80" s="9" t="s">
        <v>17</v>
      </c>
      <c r="D80" s="9" t="s">
        <v>175</v>
      </c>
      <c r="E80" s="9">
        <v>200</v>
      </c>
      <c r="F80" s="9" t="s">
        <v>176</v>
      </c>
      <c r="G80" s="9">
        <v>3500</v>
      </c>
      <c r="H80" s="10">
        <v>3500</v>
      </c>
    </row>
    <row r="81" spans="1:8" x14ac:dyDescent="0.4">
      <c r="A81" s="8" t="s">
        <v>177</v>
      </c>
      <c r="B81" s="9">
        <v>46062</v>
      </c>
      <c r="C81" s="9" t="s">
        <v>9</v>
      </c>
      <c r="D81" s="9" t="s">
        <v>178</v>
      </c>
      <c r="E81" s="9">
        <v>50</v>
      </c>
      <c r="F81" s="9">
        <v>300</v>
      </c>
      <c r="G81" s="9">
        <v>15000</v>
      </c>
      <c r="H81" s="10">
        <v>15000</v>
      </c>
    </row>
    <row r="82" spans="1:8" x14ac:dyDescent="0.4">
      <c r="A82" s="8" t="s">
        <v>179</v>
      </c>
      <c r="B82" s="9">
        <v>46063</v>
      </c>
      <c r="C82" s="9" t="s">
        <v>23</v>
      </c>
      <c r="D82" s="9" t="s">
        <v>180</v>
      </c>
      <c r="E82" s="9" t="s">
        <v>181</v>
      </c>
      <c r="F82" s="9">
        <v>75</v>
      </c>
      <c r="G82" s="9" t="e">
        <v>#VALUE!</v>
      </c>
      <c r="H82" s="10">
        <v>1875</v>
      </c>
    </row>
    <row r="83" spans="1:8" x14ac:dyDescent="0.4">
      <c r="A83" s="8" t="s">
        <v>182</v>
      </c>
      <c r="B83" s="9">
        <v>46063</v>
      </c>
      <c r="C83" s="9" t="s">
        <v>12</v>
      </c>
      <c r="D83" s="9" t="s">
        <v>183</v>
      </c>
      <c r="E83" s="9">
        <v>105</v>
      </c>
      <c r="F83" s="9">
        <v>98</v>
      </c>
      <c r="G83" s="9">
        <v>10290</v>
      </c>
      <c r="H83" s="10">
        <v>10290</v>
      </c>
    </row>
    <row r="84" spans="1:8" x14ac:dyDescent="0.4">
      <c r="A84" s="8" t="s">
        <v>184</v>
      </c>
      <c r="B84" s="9">
        <v>46064</v>
      </c>
      <c r="C84" s="9" t="s">
        <v>17</v>
      </c>
      <c r="D84" s="9" t="s">
        <v>185</v>
      </c>
      <c r="E84" s="9">
        <v>270</v>
      </c>
      <c r="F84" s="9">
        <v>0</v>
      </c>
      <c r="G84" s="9" t="e">
        <v>#DIV/0!</v>
      </c>
      <c r="H84" s="10">
        <v>0</v>
      </c>
    </row>
    <row r="85" spans="1:8" x14ac:dyDescent="0.4">
      <c r="A85" s="8" t="s">
        <v>186</v>
      </c>
      <c r="B85" s="9">
        <v>46064</v>
      </c>
      <c r="C85" s="9" t="s">
        <v>9</v>
      </c>
      <c r="D85" s="9" t="s">
        <v>13</v>
      </c>
      <c r="E85" s="9">
        <v>45</v>
      </c>
      <c r="F85" s="9" t="e">
        <v>#N/A</v>
      </c>
      <c r="G85" s="9" t="e">
        <v>#N/A</v>
      </c>
      <c r="H85" s="10">
        <v>2025</v>
      </c>
    </row>
    <row r="86" spans="1:8" x14ac:dyDescent="0.4">
      <c r="A86" s="8" t="s">
        <v>187</v>
      </c>
      <c r="B86" s="9">
        <v>46065</v>
      </c>
      <c r="C86" s="9" t="s">
        <v>23</v>
      </c>
      <c r="D86" s="9" t="s">
        <v>188</v>
      </c>
      <c r="E86" s="9">
        <v>440</v>
      </c>
      <c r="F86" s="9">
        <v>14</v>
      </c>
      <c r="G86" s="9">
        <v>6160</v>
      </c>
      <c r="H86" s="10">
        <v>6160</v>
      </c>
    </row>
    <row r="87" spans="1:8" x14ac:dyDescent="0.4">
      <c r="A87" s="8" t="s">
        <v>189</v>
      </c>
      <c r="B87" s="9">
        <v>46065</v>
      </c>
      <c r="C87" s="9" t="s">
        <v>12</v>
      </c>
      <c r="D87" s="9" t="s">
        <v>190</v>
      </c>
      <c r="E87" s="9">
        <v>155</v>
      </c>
      <c r="F87" s="9" t="s">
        <v>191</v>
      </c>
      <c r="G87" s="9">
        <v>13950</v>
      </c>
      <c r="H87" s="10">
        <v>13950</v>
      </c>
    </row>
    <row r="88" spans="1:8" x14ac:dyDescent="0.4">
      <c r="A88" s="8" t="s">
        <v>192</v>
      </c>
      <c r="B88" s="9">
        <v>46066</v>
      </c>
      <c r="C88" s="9" t="s">
        <v>9</v>
      </c>
      <c r="D88" s="9" t="s">
        <v>193</v>
      </c>
      <c r="E88" s="9">
        <v>0</v>
      </c>
      <c r="F88" s="9">
        <v>220</v>
      </c>
      <c r="G88" s="9" t="e">
        <v>#DIV/0!</v>
      </c>
      <c r="H88" s="10">
        <v>0</v>
      </c>
    </row>
    <row r="89" spans="1:8" x14ac:dyDescent="0.4">
      <c r="A89" s="8" t="s">
        <v>194</v>
      </c>
      <c r="B89" s="9">
        <v>46066</v>
      </c>
      <c r="C89" s="9" t="s">
        <v>17</v>
      </c>
      <c r="D89" s="9" t="s">
        <v>195</v>
      </c>
      <c r="E89" s="9">
        <v>80</v>
      </c>
      <c r="F89" s="9">
        <v>148</v>
      </c>
      <c r="G89" s="9">
        <v>11840</v>
      </c>
      <c r="H89" s="10">
        <v>11840</v>
      </c>
    </row>
    <row r="90" spans="1:8" x14ac:dyDescent="0.4">
      <c r="A90" s="8" t="s">
        <v>196</v>
      </c>
      <c r="B90" s="9">
        <v>46067</v>
      </c>
      <c r="C90" s="9" t="s">
        <v>9</v>
      </c>
      <c r="D90" s="9" t="s">
        <v>197</v>
      </c>
      <c r="E90" s="9">
        <v>220</v>
      </c>
      <c r="F90" s="9">
        <v>40</v>
      </c>
      <c r="G90" s="9">
        <v>8800</v>
      </c>
      <c r="H90" s="10">
        <v>8800</v>
      </c>
    </row>
    <row r="91" spans="1:8" x14ac:dyDescent="0.4">
      <c r="A91" s="8" t="s">
        <v>198</v>
      </c>
      <c r="B91" s="9">
        <v>46067</v>
      </c>
      <c r="C91" s="9" t="s">
        <v>23</v>
      </c>
      <c r="D91" s="9" t="s">
        <v>13</v>
      </c>
      <c r="E91" s="9">
        <v>95</v>
      </c>
      <c r="F91" s="9" t="e">
        <v>#N/A</v>
      </c>
      <c r="G91" s="9" t="e">
        <v>#N/A</v>
      </c>
      <c r="H91" s="10">
        <v>4750</v>
      </c>
    </row>
    <row r="92" spans="1:8" x14ac:dyDescent="0.4">
      <c r="A92" s="8" t="s">
        <v>199</v>
      </c>
      <c r="B92" s="9">
        <v>46068</v>
      </c>
      <c r="C92" s="9" t="s">
        <v>12</v>
      </c>
      <c r="D92" s="9" t="s">
        <v>200</v>
      </c>
      <c r="E92" s="9" t="s">
        <v>201</v>
      </c>
      <c r="F92" s="9">
        <v>64</v>
      </c>
      <c r="G92" s="9" t="e">
        <v>#VALUE!</v>
      </c>
      <c r="H92" s="10">
        <v>3200</v>
      </c>
    </row>
    <row r="93" spans="1:8" x14ac:dyDescent="0.4">
      <c r="A93" s="8" t="s">
        <v>202</v>
      </c>
      <c r="B93" s="9">
        <v>46068</v>
      </c>
      <c r="C93" s="9" t="s">
        <v>17</v>
      </c>
      <c r="D93" s="9" t="s">
        <v>203</v>
      </c>
      <c r="E93" s="9">
        <v>370</v>
      </c>
      <c r="F93" s="9">
        <v>20</v>
      </c>
      <c r="G93" s="9">
        <v>7400</v>
      </c>
      <c r="H93" s="10">
        <v>7400</v>
      </c>
    </row>
    <row r="94" spans="1:8" x14ac:dyDescent="0.4">
      <c r="A94" s="8" t="s">
        <v>204</v>
      </c>
      <c r="B94" s="9">
        <v>46069</v>
      </c>
      <c r="C94" s="9" t="s">
        <v>9</v>
      </c>
      <c r="D94" s="9" t="s">
        <v>205</v>
      </c>
      <c r="E94" s="9">
        <v>50</v>
      </c>
      <c r="F94" s="9">
        <v>460</v>
      </c>
      <c r="G94" s="9">
        <v>23000</v>
      </c>
      <c r="H94" s="10">
        <v>23000</v>
      </c>
    </row>
    <row r="95" spans="1:8" x14ac:dyDescent="0.4">
      <c r="A95" s="8" t="s">
        <v>206</v>
      </c>
      <c r="B95" s="9">
        <v>46069</v>
      </c>
      <c r="C95" s="9" t="s">
        <v>23</v>
      </c>
      <c r="D95" s="9" t="s">
        <v>207</v>
      </c>
      <c r="E95" s="9">
        <v>0</v>
      </c>
      <c r="F95" s="9">
        <v>180</v>
      </c>
      <c r="G95" s="9" t="e">
        <v>#DIV/0!</v>
      </c>
      <c r="H95" s="10">
        <v>0</v>
      </c>
    </row>
    <row r="96" spans="1:8" x14ac:dyDescent="0.4">
      <c r="A96" s="8" t="s">
        <v>208</v>
      </c>
      <c r="B96" s="9">
        <v>46070</v>
      </c>
      <c r="C96" s="9" t="s">
        <v>12</v>
      </c>
      <c r="D96" s="9" t="s">
        <v>209</v>
      </c>
      <c r="E96" s="9">
        <v>120</v>
      </c>
      <c r="F96" s="9" t="s">
        <v>210</v>
      </c>
      <c r="G96" s="9">
        <v>7680</v>
      </c>
      <c r="H96" s="10">
        <v>7680</v>
      </c>
    </row>
    <row r="97" spans="1:8" x14ac:dyDescent="0.4">
      <c r="A97" s="8" t="s">
        <v>211</v>
      </c>
      <c r="B97" s="9">
        <v>46070</v>
      </c>
      <c r="C97" s="9" t="s">
        <v>17</v>
      </c>
      <c r="D97" s="9" t="s">
        <v>212</v>
      </c>
      <c r="E97" s="9">
        <v>235</v>
      </c>
      <c r="F97" s="9">
        <v>30</v>
      </c>
      <c r="G97" s="9">
        <v>7050</v>
      </c>
      <c r="H97" s="10">
        <v>7050</v>
      </c>
    </row>
    <row r="98" spans="1:8" x14ac:dyDescent="0.4">
      <c r="A98" s="8" t="s">
        <v>213</v>
      </c>
      <c r="B98" s="9">
        <v>46071</v>
      </c>
      <c r="C98" s="9" t="s">
        <v>9</v>
      </c>
      <c r="D98" s="9" t="s">
        <v>13</v>
      </c>
      <c r="E98" s="9">
        <v>88</v>
      </c>
      <c r="F98" s="9" t="e">
        <v>#N/A</v>
      </c>
      <c r="G98" s="9" t="e">
        <v>#N/A</v>
      </c>
      <c r="H98" s="10">
        <v>4400</v>
      </c>
    </row>
    <row r="99" spans="1:8" x14ac:dyDescent="0.4">
      <c r="A99" s="8" t="s">
        <v>214</v>
      </c>
      <c r="B99" s="9">
        <v>46071</v>
      </c>
      <c r="C99" s="9" t="s">
        <v>23</v>
      </c>
      <c r="D99" s="9" t="s">
        <v>215</v>
      </c>
      <c r="E99" s="9">
        <v>295</v>
      </c>
      <c r="F99" s="9">
        <v>46</v>
      </c>
      <c r="G99" s="9">
        <v>13570</v>
      </c>
      <c r="H99" s="10">
        <v>13570</v>
      </c>
    </row>
    <row r="100" spans="1:8" x14ac:dyDescent="0.4">
      <c r="A100" s="8" t="s">
        <v>216</v>
      </c>
      <c r="B100" s="9">
        <v>46072</v>
      </c>
      <c r="C100" s="9" t="s">
        <v>12</v>
      </c>
      <c r="D100" s="9" t="s">
        <v>217</v>
      </c>
      <c r="E100" s="9" t="s">
        <v>218</v>
      </c>
      <c r="F100" s="9">
        <v>125</v>
      </c>
      <c r="G100" s="9" t="e">
        <v>#VALUE!</v>
      </c>
      <c r="H100" s="10">
        <v>6250</v>
      </c>
    </row>
    <row r="101" spans="1:8" x14ac:dyDescent="0.4">
      <c r="A101" s="11" t="s">
        <v>219</v>
      </c>
      <c r="B101" s="12">
        <v>46072</v>
      </c>
      <c r="C101" s="12" t="s">
        <v>17</v>
      </c>
      <c r="D101" s="12" t="s">
        <v>220</v>
      </c>
      <c r="E101" s="12">
        <v>175</v>
      </c>
      <c r="F101" s="12">
        <v>92</v>
      </c>
      <c r="G101" s="12">
        <v>16100</v>
      </c>
      <c r="H101" s="13">
        <v>16100</v>
      </c>
    </row>
  </sheetData>
  <conditionalFormatting sqref="A2:H101">
    <cfRule type="expression" dxfId="2" priority="1">
      <formula>MOD(ROW(), 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87D3-35B4-4C03-93F1-C1E99A872D7C}">
  <dimension ref="A1:H101"/>
  <sheetViews>
    <sheetView workbookViewId="0">
      <selection activeCell="H94" sqref="H94"/>
    </sheetView>
  </sheetViews>
  <sheetFormatPr defaultRowHeight="16.8" x14ac:dyDescent="0.4"/>
  <cols>
    <col min="1" max="1" width="9.33203125" style="1" bestFit="1" customWidth="1"/>
    <col min="2" max="2" width="12.5546875" style="1" bestFit="1" customWidth="1"/>
    <col min="3" max="3" width="12.21875" style="1" bestFit="1" customWidth="1"/>
    <col min="4" max="4" width="19" style="1" bestFit="1" customWidth="1"/>
    <col min="5" max="5" width="19.5546875" style="1" bestFit="1" customWidth="1"/>
    <col min="6" max="6" width="19.88671875" style="1" bestFit="1" customWidth="1"/>
    <col min="7" max="7" width="22.77734375" style="1" bestFit="1" customWidth="1"/>
    <col min="8" max="8" width="15.109375" style="1" bestFit="1" customWidth="1"/>
    <col min="9" max="16384" width="8.88671875" style="1"/>
  </cols>
  <sheetData>
    <row r="1" spans="1:8" x14ac:dyDescent="0.4">
      <c r="A1" s="4" t="s">
        <v>0</v>
      </c>
      <c r="B1" s="4" t="s">
        <v>1</v>
      </c>
      <c r="C1" s="4" t="s">
        <v>2</v>
      </c>
      <c r="D1" s="4" t="s">
        <v>221</v>
      </c>
      <c r="E1" s="4" t="s">
        <v>222</v>
      </c>
      <c r="F1" s="4" t="s">
        <v>223</v>
      </c>
      <c r="G1" s="4" t="s">
        <v>224</v>
      </c>
      <c r="H1" s="4" t="s">
        <v>225</v>
      </c>
    </row>
    <row r="2" spans="1:8" x14ac:dyDescent="0.4">
      <c r="A2" s="2" t="str">
        <f>'01_Corrupted_General_Ledger'!A2</f>
        <v>TXN-1001</v>
      </c>
      <c r="B2" s="3">
        <f>'01_Corrupted_General_Ledger'!B2</f>
        <v>46023</v>
      </c>
      <c r="C2" s="2" t="str">
        <f>'01_Corrupted_General_Ledger'!C2</f>
        <v>6001-OPEX</v>
      </c>
      <c r="D2" s="2" t="str">
        <f>IF(OR('01_Corrupted_General_Ledger'!D2="VEND-999", '01_Corrupted_General_Ledger'!D2="#N/A", ISBLANK('01_Corrupted_General_Ledger'!D2)), "VEND-DEFAULT", '01_Corrupted_General_Ledger'!D2)</f>
        <v>VEND-801</v>
      </c>
      <c r="E2" s="2">
        <f>IFERROR(VALUE(TRIM('01_Corrupted_General_Ledger'!E2)), 1)</f>
        <v>150</v>
      </c>
      <c r="F2" s="2">
        <f>IFERROR(VALUE(TRIM(SUBSTITUTE(SUBSTITUTE('01_Corrupted_General_Ledger'!F2, "$", ""), " ", ""))), 0)</f>
        <v>45</v>
      </c>
      <c r="G2" s="2">
        <f>E2*F2</f>
        <v>6750</v>
      </c>
      <c r="H2" s="2" t="str">
        <f>IF(OR(ISERROR('01_Corrupted_General_Ledger'!G2), '01_Corrupted_General_Ledger'!D2="VEND-999"), "REPAIRED", "VERIFIED CLEAN")</f>
        <v>VERIFIED CLEAN</v>
      </c>
    </row>
    <row r="3" spans="1:8" x14ac:dyDescent="0.4">
      <c r="A3" s="2" t="str">
        <f>'01_Corrupted_General_Ledger'!A3</f>
        <v>TXN-1002</v>
      </c>
      <c r="B3" s="3">
        <f>'01_Corrupted_General_Ledger'!B3</f>
        <v>46023</v>
      </c>
      <c r="C3" s="2" t="str">
        <f>'01_Corrupted_General_Ledger'!C3</f>
        <v>6002-CAPEX</v>
      </c>
      <c r="D3" s="2" t="str">
        <f>IF(OR('01_Corrupted_General_Ledger'!D3="VEND-999", '01_Corrupted_General_Ledger'!D3="#N/A", ISBLANK('01_Corrupted_General_Ledger'!D3)), "VEND-DEFAULT", '01_Corrupted_General_Ledger'!D3)</f>
        <v>VEND-DEFAULT</v>
      </c>
      <c r="E3" s="2">
        <f>IFERROR(VALUE(TRIM('01_Corrupted_General_Ledger'!E3)), 1)</f>
        <v>80</v>
      </c>
      <c r="F3" s="2">
        <f>IFERROR(VALUE(TRIM(SUBSTITUTE(SUBSTITUTE('01_Corrupted_General_Ledger'!F3, "$", ""), " ", ""))), 0)</f>
        <v>0</v>
      </c>
      <c r="G3" s="2">
        <f t="shared" ref="G3:G66" si="0">E3*F3</f>
        <v>0</v>
      </c>
      <c r="H3" s="2" t="str">
        <f>IF(OR(ISERROR('01_Corrupted_General_Ledger'!G3), '01_Corrupted_General_Ledger'!D3="VEND-999"), "REPAIRED", "VERIFIED CLEAN")</f>
        <v>REPAIRED</v>
      </c>
    </row>
    <row r="4" spans="1:8" x14ac:dyDescent="0.4">
      <c r="A4" s="2" t="str">
        <f>'01_Corrupted_General_Ledger'!A4</f>
        <v>TXN-1003</v>
      </c>
      <c r="B4" s="3">
        <f>'01_Corrupted_General_Ledger'!B4</f>
        <v>46024</v>
      </c>
      <c r="C4" s="2" t="str">
        <f>'01_Corrupted_General_Ledger'!C4</f>
        <v>6001-OPEX</v>
      </c>
      <c r="D4" s="2" t="str">
        <f>IF(OR('01_Corrupted_General_Ledger'!D4="VEND-999", '01_Corrupted_General_Ledger'!D4="#N/A", ISBLANK('01_Corrupted_General_Ledger'!D4)), "VEND-DEFAULT", '01_Corrupted_General_Ledger'!D4)</f>
        <v>VEND-803</v>
      </c>
      <c r="E4" s="2">
        <f>IFERROR(VALUE(TRIM('01_Corrupted_General_Ledger'!E4)), 1)</f>
        <v>0</v>
      </c>
      <c r="F4" s="2">
        <f>IFERROR(VALUE(TRIM(SUBSTITUTE(SUBSTITUTE('01_Corrupted_General_Ledger'!F4, "$", ""), " ", ""))), 0)</f>
        <v>120</v>
      </c>
      <c r="G4" s="2">
        <f t="shared" si="0"/>
        <v>0</v>
      </c>
      <c r="H4" s="2" t="str">
        <f>IF(OR(ISERROR('01_Corrupted_General_Ledger'!G4), '01_Corrupted_General_Ledger'!D4="VEND-999"), "REPAIRED", "VERIFIED CLEAN")</f>
        <v>REPAIRED</v>
      </c>
    </row>
    <row r="5" spans="1:8" x14ac:dyDescent="0.4">
      <c r="A5" s="2" t="str">
        <f>'01_Corrupted_General_Ledger'!A5</f>
        <v>TXN-1004</v>
      </c>
      <c r="B5" s="3">
        <f>'01_Corrupted_General_Ledger'!B5</f>
        <v>46024</v>
      </c>
      <c r="C5" s="2" t="str">
        <f>'01_Corrupted_General_Ledger'!C5</f>
        <v>6003-SUPPLY</v>
      </c>
      <c r="D5" s="2" t="str">
        <f>IF(OR('01_Corrupted_General_Ledger'!D5="VEND-999", '01_Corrupted_General_Ledger'!D5="#N/A", ISBLANK('01_Corrupted_General_Ledger'!D5)), "VEND-DEFAULT", '01_Corrupted_General_Ledger'!D5)</f>
        <v>VEND-804</v>
      </c>
      <c r="E5" s="2">
        <f>IFERROR(VALUE(TRIM('01_Corrupted_General_Ledger'!E5)), 1)</f>
        <v>200</v>
      </c>
      <c r="F5" s="2">
        <f>IFERROR(VALUE(TRIM(SUBSTITUTE(SUBSTITUTE('01_Corrupted_General_Ledger'!F5, "$", ""), " ", ""))), 0)</f>
        <v>15.5</v>
      </c>
      <c r="G5" s="2">
        <f t="shared" si="0"/>
        <v>3100</v>
      </c>
      <c r="H5" s="2" t="str">
        <f>IF(OR(ISERROR('01_Corrupted_General_Ledger'!G5), '01_Corrupted_General_Ledger'!D5="VEND-999"), "REPAIRED", "VERIFIED CLEAN")</f>
        <v>VERIFIED CLEAN</v>
      </c>
    </row>
    <row r="6" spans="1:8" x14ac:dyDescent="0.4">
      <c r="A6" s="2" t="str">
        <f>'01_Corrupted_General_Ledger'!A6</f>
        <v>TXN-1005</v>
      </c>
      <c r="B6" s="3">
        <f>'01_Corrupted_General_Ledger'!B6</f>
        <v>46025</v>
      </c>
      <c r="C6" s="2" t="str">
        <f>'01_Corrupted_General_Ledger'!C6</f>
        <v>6001-OPEX</v>
      </c>
      <c r="D6" s="2" t="str">
        <f>IF(OR('01_Corrupted_General_Ledger'!D6="VEND-999", '01_Corrupted_General_Ledger'!D6="#N/A", ISBLANK('01_Corrupted_General_Ledger'!D6)), "VEND-DEFAULT", '01_Corrupted_General_Ledger'!D6)</f>
        <v>VEND-805</v>
      </c>
      <c r="E6" s="2">
        <f>IFERROR(VALUE(TRIM('01_Corrupted_General_Ledger'!E6)), 1)</f>
        <v>50</v>
      </c>
      <c r="F6" s="2">
        <f>IFERROR(VALUE(TRIM(SUBSTITUTE(SUBSTITUTE('01_Corrupted_General_Ledger'!F6, "$", ""), " ", ""))), 0)</f>
        <v>310</v>
      </c>
      <c r="G6" s="2">
        <f t="shared" si="0"/>
        <v>15500</v>
      </c>
      <c r="H6" s="2" t="str">
        <f>IF(OR(ISERROR('01_Corrupted_General_Ledger'!G6), '01_Corrupted_General_Ledger'!D6="VEND-999"), "REPAIRED", "VERIFIED CLEAN")</f>
        <v>VERIFIED CLEAN</v>
      </c>
    </row>
    <row r="7" spans="1:8" x14ac:dyDescent="0.4">
      <c r="A7" s="2" t="str">
        <f>'01_Corrupted_General_Ledger'!A7</f>
        <v>TXN-1006</v>
      </c>
      <c r="B7" s="3">
        <f>'01_Corrupted_General_Ledger'!B7</f>
        <v>46025</v>
      </c>
      <c r="C7" s="2" t="str">
        <f>'01_Corrupted_General_Ledger'!C7</f>
        <v>6004-TRAVEL</v>
      </c>
      <c r="D7" s="2" t="str">
        <f>IF(OR('01_Corrupted_General_Ledger'!D7="VEND-999", '01_Corrupted_General_Ledger'!D7="#N/A", ISBLANK('01_Corrupted_General_Ledger'!D7)), "VEND-DEFAULT", '01_Corrupted_General_Ledger'!D7)</f>
        <v>VEND-806</v>
      </c>
      <c r="E7" s="2">
        <f>IFERROR(VALUE(TRIM('01_Corrupted_General_Ledger'!E7)), 1)</f>
        <v>1</v>
      </c>
      <c r="F7" s="2">
        <f>IFERROR(VALUE(TRIM(SUBSTITUTE(SUBSTITUTE('01_Corrupted_General_Ledger'!F7, "$", ""), " ", ""))), 0)</f>
        <v>75</v>
      </c>
      <c r="G7" s="2">
        <f t="shared" si="0"/>
        <v>75</v>
      </c>
      <c r="H7" s="2" t="str">
        <f>IF(OR(ISERROR('01_Corrupted_General_Ledger'!G7), '01_Corrupted_General_Ledger'!D7="VEND-999"), "REPAIRED", "VERIFIED CLEAN")</f>
        <v>REPAIRED</v>
      </c>
    </row>
    <row r="8" spans="1:8" x14ac:dyDescent="0.4">
      <c r="A8" s="2" t="str">
        <f>'01_Corrupted_General_Ledger'!A8</f>
        <v>TXN-1007</v>
      </c>
      <c r="B8" s="3">
        <f>'01_Corrupted_General_Ledger'!B8</f>
        <v>46026</v>
      </c>
      <c r="C8" s="2" t="str">
        <f>'01_Corrupted_General_Ledger'!C8</f>
        <v>6002-CAPEX</v>
      </c>
      <c r="D8" s="2" t="str">
        <f>IF(OR('01_Corrupted_General_Ledger'!D8="VEND-999", '01_Corrupted_General_Ledger'!D8="#N/A", ISBLANK('01_Corrupted_General_Ledger'!D8)), "VEND-DEFAULT", '01_Corrupted_General_Ledger'!D8)</f>
        <v>VEND-807</v>
      </c>
      <c r="E8" s="2">
        <f>IFERROR(VALUE(TRIM('01_Corrupted_General_Ledger'!E8)), 1)</f>
        <v>120</v>
      </c>
      <c r="F8" s="2">
        <f>IFERROR(VALUE(TRIM(SUBSTITUTE(SUBSTITUTE('01_Corrupted_General_Ledger'!F8, "$", ""), " ", ""))), 0)</f>
        <v>95</v>
      </c>
      <c r="G8" s="2">
        <f t="shared" si="0"/>
        <v>11400</v>
      </c>
      <c r="H8" s="2" t="str">
        <f>IF(OR(ISERROR('01_Corrupted_General_Ledger'!G8), '01_Corrupted_General_Ledger'!D8="VEND-999"), "REPAIRED", "VERIFIED CLEAN")</f>
        <v>VERIFIED CLEAN</v>
      </c>
    </row>
    <row r="9" spans="1:8" x14ac:dyDescent="0.4">
      <c r="A9" s="2" t="str">
        <f>'01_Corrupted_General_Ledger'!A9</f>
        <v>TXN-1008</v>
      </c>
      <c r="B9" s="3">
        <f>'01_Corrupted_General_Ledger'!B9</f>
        <v>46026</v>
      </c>
      <c r="C9" s="2" t="str">
        <f>'01_Corrupted_General_Ledger'!C9</f>
        <v>6003-SUPPLY</v>
      </c>
      <c r="D9" s="2" t="str">
        <f>IF(OR('01_Corrupted_General_Ledger'!D9="VEND-999", '01_Corrupted_General_Ledger'!D9="#N/A", ISBLANK('01_Corrupted_General_Ledger'!D9)), "VEND-DEFAULT", '01_Corrupted_General_Ledger'!D9)</f>
        <v>VEND-808</v>
      </c>
      <c r="E9" s="2">
        <f>IFERROR(VALUE(TRIM('01_Corrupted_General_Ledger'!E9)), 1)</f>
        <v>300</v>
      </c>
      <c r="F9" s="2">
        <f>IFERROR(VALUE(TRIM(SUBSTITUTE(SUBSTITUTE('01_Corrupted_General_Ledger'!F9, "$", ""), " ", ""))), 0)</f>
        <v>0</v>
      </c>
      <c r="G9" s="2">
        <f t="shared" si="0"/>
        <v>0</v>
      </c>
      <c r="H9" s="2" t="str">
        <f>IF(OR(ISERROR('01_Corrupted_General_Ledger'!G9), '01_Corrupted_General_Ledger'!D9="VEND-999"), "REPAIRED", "VERIFIED CLEAN")</f>
        <v>REPAIRED</v>
      </c>
    </row>
    <row r="10" spans="1:8" x14ac:dyDescent="0.4">
      <c r="A10" s="2" t="str">
        <f>'01_Corrupted_General_Ledger'!A10</f>
        <v>TXN-1009</v>
      </c>
      <c r="B10" s="3">
        <f>'01_Corrupted_General_Ledger'!B10</f>
        <v>46027</v>
      </c>
      <c r="C10" s="2" t="str">
        <f>'01_Corrupted_General_Ledger'!C10</f>
        <v>6001-OPEX</v>
      </c>
      <c r="D10" s="2" t="str">
        <f>IF(OR('01_Corrupted_General_Ledger'!D10="VEND-999", '01_Corrupted_General_Ledger'!D10="#N/A", ISBLANK('01_Corrupted_General_Ledger'!D10)), "VEND-DEFAULT", '01_Corrupted_General_Ledger'!D10)</f>
        <v>VEND-DEFAULT</v>
      </c>
      <c r="E10" s="2">
        <f>IFERROR(VALUE(TRIM('01_Corrupted_General_Ledger'!E10)), 1)</f>
        <v>45</v>
      </c>
      <c r="F10" s="2">
        <f>IFERROR(VALUE(TRIM(SUBSTITUTE(SUBSTITUTE('01_Corrupted_General_Ledger'!F10, "$", ""), " ", ""))), 0)</f>
        <v>0</v>
      </c>
      <c r="G10" s="2">
        <f t="shared" si="0"/>
        <v>0</v>
      </c>
      <c r="H10" s="2" t="str">
        <f>IF(OR(ISERROR('01_Corrupted_General_Ledger'!G10), '01_Corrupted_General_Ledger'!D10="VEND-999"), "REPAIRED", "VERIFIED CLEAN")</f>
        <v>REPAIRED</v>
      </c>
    </row>
    <row r="11" spans="1:8" x14ac:dyDescent="0.4">
      <c r="A11" s="2" t="str">
        <f>'01_Corrupted_General_Ledger'!A11</f>
        <v>TXN-1010</v>
      </c>
      <c r="B11" s="3">
        <f>'01_Corrupted_General_Ledger'!B11</f>
        <v>46027</v>
      </c>
      <c r="C11" s="2" t="str">
        <f>'01_Corrupted_General_Ledger'!C11</f>
        <v>6004-TRAVEL</v>
      </c>
      <c r="D11" s="2" t="str">
        <f>IF(OR('01_Corrupted_General_Ledger'!D11="VEND-999", '01_Corrupted_General_Ledger'!D11="#N/A", ISBLANK('01_Corrupted_General_Ledger'!D11)), "VEND-DEFAULT", '01_Corrupted_General_Ledger'!D11)</f>
        <v>VEND-810</v>
      </c>
      <c r="E11" s="2">
        <f>IFERROR(VALUE(TRIM('01_Corrupted_General_Ledger'!E11)), 1)</f>
        <v>500</v>
      </c>
      <c r="F11" s="2">
        <f>IFERROR(VALUE(TRIM(SUBSTITUTE(SUBSTITUTE('01_Corrupted_General_Ledger'!F11, "$", ""), " ", ""))), 0)</f>
        <v>12.5</v>
      </c>
      <c r="G11" s="2">
        <f t="shared" si="0"/>
        <v>6250</v>
      </c>
      <c r="H11" s="2" t="str">
        <f>IF(OR(ISERROR('01_Corrupted_General_Ledger'!G11), '01_Corrupted_General_Ledger'!D11="VEND-999"), "REPAIRED", "VERIFIED CLEAN")</f>
        <v>VERIFIED CLEAN</v>
      </c>
    </row>
    <row r="12" spans="1:8" x14ac:dyDescent="0.4">
      <c r="A12" s="2" t="str">
        <f>'01_Corrupted_General_Ledger'!A12</f>
        <v>TXN-1011</v>
      </c>
      <c r="B12" s="3">
        <f>'01_Corrupted_General_Ledger'!B12</f>
        <v>46028</v>
      </c>
      <c r="C12" s="2" t="str">
        <f>'01_Corrupted_General_Ledger'!C12</f>
        <v>6002-CAPEX</v>
      </c>
      <c r="D12" s="2" t="str">
        <f>IF(OR('01_Corrupted_General_Ledger'!D12="VEND-999", '01_Corrupted_General_Ledger'!D12="#N/A", ISBLANK('01_Corrupted_General_Ledger'!D12)), "VEND-DEFAULT", '01_Corrupted_General_Ledger'!D12)</f>
        <v>VEND-811</v>
      </c>
      <c r="E12" s="2">
        <f>IFERROR(VALUE(TRIM('01_Corrupted_General_Ledger'!E12)), 1)</f>
        <v>175</v>
      </c>
      <c r="F12" s="2">
        <f>IFERROR(VALUE(TRIM(SUBSTITUTE(SUBSTITUTE('01_Corrupted_General_Ledger'!F12, "$", ""), " ", ""))), 0)</f>
        <v>88</v>
      </c>
      <c r="G12" s="2">
        <f t="shared" si="0"/>
        <v>15400</v>
      </c>
      <c r="H12" s="2" t="str">
        <f>IF(OR(ISERROR('01_Corrupted_General_Ledger'!G12), '01_Corrupted_General_Ledger'!D12="VEND-999"), "REPAIRED", "VERIFIED CLEAN")</f>
        <v>VERIFIED CLEAN</v>
      </c>
    </row>
    <row r="13" spans="1:8" x14ac:dyDescent="0.4">
      <c r="A13" s="2" t="str">
        <f>'01_Corrupted_General_Ledger'!A13</f>
        <v>TXN-1012</v>
      </c>
      <c r="B13" s="3">
        <f>'01_Corrupted_General_Ledger'!B13</f>
        <v>46028</v>
      </c>
      <c r="C13" s="2" t="str">
        <f>'01_Corrupted_General_Ledger'!C13</f>
        <v>6001-OPEX</v>
      </c>
      <c r="D13" s="2" t="str">
        <f>IF(OR('01_Corrupted_General_Ledger'!D13="VEND-999", '01_Corrupted_General_Ledger'!D13="#N/A", ISBLANK('01_Corrupted_General_Ledger'!D13)), "VEND-DEFAULT", '01_Corrupted_General_Ledger'!D13)</f>
        <v>VEND-812</v>
      </c>
      <c r="E13" s="2">
        <f>IFERROR(VALUE(TRIM('01_Corrupted_General_Ledger'!E13)), 1)</f>
        <v>0</v>
      </c>
      <c r="F13" s="2">
        <f>IFERROR(VALUE(TRIM(SUBSTITUTE(SUBSTITUTE('01_Corrupted_General_Ledger'!F13, "$", ""), " ", ""))), 0)</f>
        <v>210</v>
      </c>
      <c r="G13" s="2">
        <f t="shared" si="0"/>
        <v>0</v>
      </c>
      <c r="H13" s="2" t="str">
        <f>IF(OR(ISERROR('01_Corrupted_General_Ledger'!G13), '01_Corrupted_General_Ledger'!D13="VEND-999"), "REPAIRED", "VERIFIED CLEAN")</f>
        <v>REPAIRED</v>
      </c>
    </row>
    <row r="14" spans="1:8" x14ac:dyDescent="0.4">
      <c r="A14" s="2" t="str">
        <f>'01_Corrupted_General_Ledger'!A14</f>
        <v>TXN-1013</v>
      </c>
      <c r="B14" s="3">
        <f>'01_Corrupted_General_Ledger'!B14</f>
        <v>46029</v>
      </c>
      <c r="C14" s="2" t="str">
        <f>'01_Corrupted_General_Ledger'!C14</f>
        <v>6003-SUPPLY</v>
      </c>
      <c r="D14" s="2" t="str">
        <f>IF(OR('01_Corrupted_General_Ledger'!D14="VEND-999", '01_Corrupted_General_Ledger'!D14="#N/A", ISBLANK('01_Corrupted_General_Ledger'!D14)), "VEND-DEFAULT", '01_Corrupted_General_Ledger'!D14)</f>
        <v>VEND-813</v>
      </c>
      <c r="E14" s="2">
        <f>IFERROR(VALUE(TRIM('01_Corrupted_General_Ledger'!E14)), 1)</f>
        <v>90</v>
      </c>
      <c r="F14" s="2">
        <f>IFERROR(VALUE(TRIM(SUBSTITUTE(SUBSTITUTE('01_Corrupted_General_Ledger'!F14, "$", ""), " ", ""))), 0)</f>
        <v>140</v>
      </c>
      <c r="G14" s="2">
        <f t="shared" si="0"/>
        <v>12600</v>
      </c>
      <c r="H14" s="2" t="str">
        <f>IF(OR(ISERROR('01_Corrupted_General_Ledger'!G14), '01_Corrupted_General_Ledger'!D14="VEND-999"), "REPAIRED", "VERIFIED CLEAN")</f>
        <v>VERIFIED CLEAN</v>
      </c>
    </row>
    <row r="15" spans="1:8" x14ac:dyDescent="0.4">
      <c r="A15" s="2" t="str">
        <f>'01_Corrupted_General_Ledger'!A15</f>
        <v>TXN-1014</v>
      </c>
      <c r="B15" s="3">
        <f>'01_Corrupted_General_Ledger'!B15</f>
        <v>46029</v>
      </c>
      <c r="C15" s="2" t="str">
        <f>'01_Corrupted_General_Ledger'!C15</f>
        <v>6001-OPEX</v>
      </c>
      <c r="D15" s="2" t="str">
        <f>IF(OR('01_Corrupted_General_Ledger'!D15="VEND-999", '01_Corrupted_General_Ledger'!D15="#N/A", ISBLANK('01_Corrupted_General_Ledger'!D15)), "VEND-DEFAULT", '01_Corrupted_General_Ledger'!D15)</f>
        <v>VEND-814</v>
      </c>
      <c r="E15" s="2">
        <f>IFERROR(VALUE(TRIM('01_Corrupted_General_Ledger'!E15)), 1)</f>
        <v>220</v>
      </c>
      <c r="F15" s="2">
        <f>IFERROR(VALUE(TRIM(SUBSTITUTE(SUBSTITUTE('01_Corrupted_General_Ledger'!F15, "$", ""), " ", ""))), 0)</f>
        <v>35</v>
      </c>
      <c r="G15" s="2">
        <f t="shared" si="0"/>
        <v>7700</v>
      </c>
      <c r="H15" s="2" t="str">
        <f>IF(OR(ISERROR('01_Corrupted_General_Ledger'!G15), '01_Corrupted_General_Ledger'!D15="VEND-999"), "REPAIRED", "VERIFIED CLEAN")</f>
        <v>VERIFIED CLEAN</v>
      </c>
    </row>
    <row r="16" spans="1:8" x14ac:dyDescent="0.4">
      <c r="A16" s="2" t="str">
        <f>'01_Corrupted_General_Ledger'!A16</f>
        <v>TXN-1015</v>
      </c>
      <c r="B16" s="3">
        <f>'01_Corrupted_General_Ledger'!B16</f>
        <v>46030</v>
      </c>
      <c r="C16" s="2" t="str">
        <f>'01_Corrupted_General_Ledger'!C16</f>
        <v>6004-TRAVEL</v>
      </c>
      <c r="D16" s="2" t="str">
        <f>IF(OR('01_Corrupted_General_Ledger'!D16="VEND-999", '01_Corrupted_General_Ledger'!D16="#N/A", ISBLANK('01_Corrupted_General_Ledger'!D16)), "VEND-DEFAULT", '01_Corrupted_General_Ledger'!D16)</f>
        <v>VEND-DEFAULT</v>
      </c>
      <c r="E16" s="2">
        <f>IFERROR(VALUE(TRIM('01_Corrupted_General_Ledger'!E16)), 1)</f>
        <v>110</v>
      </c>
      <c r="F16" s="2">
        <f>IFERROR(VALUE(TRIM(SUBSTITUTE(SUBSTITUTE('01_Corrupted_General_Ledger'!F16, "$", ""), " ", ""))), 0)</f>
        <v>0</v>
      </c>
      <c r="G16" s="2">
        <f t="shared" si="0"/>
        <v>0</v>
      </c>
      <c r="H16" s="2" t="str">
        <f>IF(OR(ISERROR('01_Corrupted_General_Ledger'!G16), '01_Corrupted_General_Ledger'!D16="VEND-999"), "REPAIRED", "VERIFIED CLEAN")</f>
        <v>REPAIRED</v>
      </c>
    </row>
    <row r="17" spans="1:8" x14ac:dyDescent="0.4">
      <c r="A17" s="2" t="str">
        <f>'01_Corrupted_General_Ledger'!A17</f>
        <v>TXN-1016</v>
      </c>
      <c r="B17" s="3">
        <f>'01_Corrupted_General_Ledger'!B17</f>
        <v>46030</v>
      </c>
      <c r="C17" s="2" t="str">
        <f>'01_Corrupted_General_Ledger'!C17</f>
        <v>6002-CAPEX</v>
      </c>
      <c r="D17" s="2" t="str">
        <f>IF(OR('01_Corrupted_General_Ledger'!D17="VEND-999", '01_Corrupted_General_Ledger'!D17="#N/A", ISBLANK('01_Corrupted_General_Ledger'!D17)), "VEND-DEFAULT", '01_Corrupted_General_Ledger'!D17)</f>
        <v>VEND-816</v>
      </c>
      <c r="E17" s="2">
        <f>IFERROR(VALUE(TRIM('01_Corrupted_General_Ledger'!E17)), 1)</f>
        <v>1</v>
      </c>
      <c r="F17" s="2">
        <f>IFERROR(VALUE(TRIM(SUBSTITUTE(SUBSTITUTE('01_Corrupted_General_Ledger'!F17, "$", ""), " ", ""))), 0)</f>
        <v>62</v>
      </c>
      <c r="G17" s="2">
        <f t="shared" si="0"/>
        <v>62</v>
      </c>
      <c r="H17" s="2" t="str">
        <f>IF(OR(ISERROR('01_Corrupted_General_Ledger'!G17), '01_Corrupted_General_Ledger'!D17="VEND-999"), "REPAIRED", "VERIFIED CLEAN")</f>
        <v>REPAIRED</v>
      </c>
    </row>
    <row r="18" spans="1:8" x14ac:dyDescent="0.4">
      <c r="A18" s="2" t="str">
        <f>'01_Corrupted_General_Ledger'!A18</f>
        <v>TXN-1017</v>
      </c>
      <c r="B18" s="3">
        <f>'01_Corrupted_General_Ledger'!B18</f>
        <v>46031</v>
      </c>
      <c r="C18" s="2" t="str">
        <f>'01_Corrupted_General_Ledger'!C18</f>
        <v>6003-SUPPLY</v>
      </c>
      <c r="D18" s="2" t="str">
        <f>IF(OR('01_Corrupted_General_Ledger'!D18="VEND-999", '01_Corrupted_General_Ledger'!D18="#N/A", ISBLANK('01_Corrupted_General_Ledger'!D18)), "VEND-DEFAULT", '01_Corrupted_General_Ledger'!D18)</f>
        <v>VEND-817</v>
      </c>
      <c r="E18" s="2">
        <f>IFERROR(VALUE(TRIM('01_Corrupted_General_Ledger'!E18)), 1)</f>
        <v>400</v>
      </c>
      <c r="F18" s="2">
        <f>IFERROR(VALUE(TRIM(SUBSTITUTE(SUBSTITUTE('01_Corrupted_General_Ledger'!F18, "$", ""), " ", ""))), 0)</f>
        <v>18</v>
      </c>
      <c r="G18" s="2">
        <f t="shared" si="0"/>
        <v>7200</v>
      </c>
      <c r="H18" s="2" t="str">
        <f>IF(OR(ISERROR('01_Corrupted_General_Ledger'!G18), '01_Corrupted_General_Ledger'!D18="VEND-999"), "REPAIRED", "VERIFIED CLEAN")</f>
        <v>VERIFIED CLEAN</v>
      </c>
    </row>
    <row r="19" spans="1:8" x14ac:dyDescent="0.4">
      <c r="A19" s="2" t="str">
        <f>'01_Corrupted_General_Ledger'!A19</f>
        <v>TXN-1018</v>
      </c>
      <c r="B19" s="3">
        <f>'01_Corrupted_General_Ledger'!B19</f>
        <v>46031</v>
      </c>
      <c r="C19" s="2" t="str">
        <f>'01_Corrupted_General_Ledger'!C19</f>
        <v>6001-OPEX</v>
      </c>
      <c r="D19" s="2" t="str">
        <f>IF(OR('01_Corrupted_General_Ledger'!D19="VEND-999", '01_Corrupted_General_Ledger'!D19="#N/A", ISBLANK('01_Corrupted_General_Ledger'!D19)), "VEND-DEFAULT", '01_Corrupted_General_Ledger'!D19)</f>
        <v>VEND-818</v>
      </c>
      <c r="E19" s="2">
        <f>IFERROR(VALUE(TRIM('01_Corrupted_General_Ledger'!E19)), 1)</f>
        <v>60</v>
      </c>
      <c r="F19" s="2">
        <f>IFERROR(VALUE(TRIM(SUBSTITUTE(SUBSTITUTE('01_Corrupted_General_Ledger'!F19, "$", ""), " ", ""))), 0)</f>
        <v>450</v>
      </c>
      <c r="G19" s="2">
        <f t="shared" si="0"/>
        <v>27000</v>
      </c>
      <c r="H19" s="2" t="str">
        <f>IF(OR(ISERROR('01_Corrupted_General_Ledger'!G19), '01_Corrupted_General_Ledger'!D19="VEND-999"), "REPAIRED", "VERIFIED CLEAN")</f>
        <v>VERIFIED CLEAN</v>
      </c>
    </row>
    <row r="20" spans="1:8" x14ac:dyDescent="0.4">
      <c r="A20" s="2" t="str">
        <f>'01_Corrupted_General_Ledger'!A20</f>
        <v>TXN-1019</v>
      </c>
      <c r="B20" s="3">
        <f>'01_Corrupted_General_Ledger'!B20</f>
        <v>46032</v>
      </c>
      <c r="C20" s="2" t="str">
        <f>'01_Corrupted_General_Ledger'!C20</f>
        <v>6004-TRAVEL</v>
      </c>
      <c r="D20" s="2" t="str">
        <f>IF(OR('01_Corrupted_General_Ledger'!D20="VEND-999", '01_Corrupted_General_Ledger'!D20="#N/A", ISBLANK('01_Corrupted_General_Ledger'!D20)), "VEND-DEFAULT", '01_Corrupted_General_Ledger'!D20)</f>
        <v>VEND-819</v>
      </c>
      <c r="E20" s="2">
        <f>IFERROR(VALUE(TRIM('01_Corrupted_General_Ledger'!E20)), 1)</f>
        <v>0</v>
      </c>
      <c r="F20" s="2">
        <f>IFERROR(VALUE(TRIM(SUBSTITUTE(SUBSTITUTE('01_Corrupted_General_Ledger'!F20, "$", ""), " ", ""))), 0)</f>
        <v>175</v>
      </c>
      <c r="G20" s="2">
        <f t="shared" si="0"/>
        <v>0</v>
      </c>
      <c r="H20" s="2" t="str">
        <f>IF(OR(ISERROR('01_Corrupted_General_Ledger'!G20), '01_Corrupted_General_Ledger'!D20="VEND-999"), "REPAIRED", "VERIFIED CLEAN")</f>
        <v>REPAIRED</v>
      </c>
    </row>
    <row r="21" spans="1:8" x14ac:dyDescent="0.4">
      <c r="A21" s="2" t="str">
        <f>'01_Corrupted_General_Ledger'!A21</f>
        <v>TXN-1020</v>
      </c>
      <c r="B21" s="3">
        <f>'01_Corrupted_General_Ledger'!B21</f>
        <v>46032</v>
      </c>
      <c r="C21" s="2" t="str">
        <f>'01_Corrupted_General_Ledger'!C21</f>
        <v>6002-CAPEX</v>
      </c>
      <c r="D21" s="2" t="str">
        <f>IF(OR('01_Corrupted_General_Ledger'!D21="VEND-999", '01_Corrupted_General_Ledger'!D21="#N/A", ISBLANK('01_Corrupted_General_Ledger'!D21)), "VEND-DEFAULT", '01_Corrupted_General_Ledger'!D21)</f>
        <v>VEND-820</v>
      </c>
      <c r="E21" s="2">
        <f>IFERROR(VALUE(TRIM('01_Corrupted_General_Ledger'!E21)), 1)</f>
        <v>130</v>
      </c>
      <c r="F21" s="2">
        <f>IFERROR(VALUE(TRIM(SUBSTITUTE(SUBSTITUTE('01_Corrupted_General_Ledger'!F21, "$", ""), " ", ""))), 0)</f>
        <v>52</v>
      </c>
      <c r="G21" s="2">
        <f t="shared" si="0"/>
        <v>6760</v>
      </c>
      <c r="H21" s="2" t="str">
        <f>IF(OR(ISERROR('01_Corrupted_General_Ledger'!G21), '01_Corrupted_General_Ledger'!D21="VEND-999"), "REPAIRED", "VERIFIED CLEAN")</f>
        <v>VERIFIED CLEAN</v>
      </c>
    </row>
    <row r="22" spans="1:8" x14ac:dyDescent="0.4">
      <c r="A22" s="2" t="str">
        <f>'01_Corrupted_General_Ledger'!A22</f>
        <v>TXN-1021</v>
      </c>
      <c r="B22" s="3">
        <f>'01_Corrupted_General_Ledger'!B22</f>
        <v>46033</v>
      </c>
      <c r="C22" s="2" t="str">
        <f>'01_Corrupted_General_Ledger'!C22</f>
        <v>6003-SUPPLY</v>
      </c>
      <c r="D22" s="2" t="str">
        <f>IF(OR('01_Corrupted_General_Ledger'!D22="VEND-999", '01_Corrupted_General_Ledger'!D22="#N/A", ISBLANK('01_Corrupted_General_Ledger'!D22)), "VEND-DEFAULT", '01_Corrupted_General_Ledger'!D22)</f>
        <v>VEND-821</v>
      </c>
      <c r="E22" s="2">
        <f>IFERROR(VALUE(TRIM('01_Corrupted_General_Ledger'!E22)), 1)</f>
        <v>250</v>
      </c>
      <c r="F22" s="2">
        <f>IFERROR(VALUE(TRIM(SUBSTITUTE(SUBSTITUTE('01_Corrupted_General_Ledger'!F22, "$", ""), " ", ""))), 0)</f>
        <v>24</v>
      </c>
      <c r="G22" s="2">
        <f t="shared" si="0"/>
        <v>6000</v>
      </c>
      <c r="H22" s="2" t="str">
        <f>IF(OR(ISERROR('01_Corrupted_General_Ledger'!G22), '01_Corrupted_General_Ledger'!D22="VEND-999"), "REPAIRED", "VERIFIED CLEAN")</f>
        <v>VERIFIED CLEAN</v>
      </c>
    </row>
    <row r="23" spans="1:8" x14ac:dyDescent="0.4">
      <c r="A23" s="2" t="str">
        <f>'01_Corrupted_General_Ledger'!A23</f>
        <v>TXN-1022</v>
      </c>
      <c r="B23" s="3">
        <f>'01_Corrupted_General_Ledger'!B23</f>
        <v>46033</v>
      </c>
      <c r="C23" s="2" t="str">
        <f>'01_Corrupted_General_Ledger'!C23</f>
        <v>6001-OPEX</v>
      </c>
      <c r="D23" s="2" t="str">
        <f>IF(OR('01_Corrupted_General_Ledger'!D23="VEND-999", '01_Corrupted_General_Ledger'!D23="#N/A", ISBLANK('01_Corrupted_General_Ledger'!D23)), "VEND-DEFAULT", '01_Corrupted_General_Ledger'!D23)</f>
        <v>VEND-DEFAULT</v>
      </c>
      <c r="E23" s="2">
        <f>IFERROR(VALUE(TRIM('01_Corrupted_General_Ledger'!E23)), 1)</f>
        <v>95</v>
      </c>
      <c r="F23" s="2">
        <f>IFERROR(VALUE(TRIM(SUBSTITUTE(SUBSTITUTE('01_Corrupted_General_Ledger'!F23, "$", ""), " ", ""))), 0)</f>
        <v>0</v>
      </c>
      <c r="G23" s="2">
        <f t="shared" si="0"/>
        <v>0</v>
      </c>
      <c r="H23" s="2" t="str">
        <f>IF(OR(ISERROR('01_Corrupted_General_Ledger'!G23), '01_Corrupted_General_Ledger'!D23="VEND-999"), "REPAIRED", "VERIFIED CLEAN")</f>
        <v>REPAIRED</v>
      </c>
    </row>
    <row r="24" spans="1:8" x14ac:dyDescent="0.4">
      <c r="A24" s="2" t="str">
        <f>'01_Corrupted_General_Ledger'!A24</f>
        <v>TXN-1023</v>
      </c>
      <c r="B24" s="3">
        <f>'01_Corrupted_General_Ledger'!B24</f>
        <v>46034</v>
      </c>
      <c r="C24" s="2" t="str">
        <f>'01_Corrupted_General_Ledger'!C24</f>
        <v>6004-TRAVEL</v>
      </c>
      <c r="D24" s="2" t="str">
        <f>IF(OR('01_Corrupted_General_Ledger'!D24="VEND-999", '01_Corrupted_General_Ledger'!D24="#N/A", ISBLANK('01_Corrupted_General_Ledger'!D24)), "VEND-DEFAULT", '01_Corrupted_General_Ledger'!D24)</f>
        <v>VEND-823</v>
      </c>
      <c r="E24" s="2">
        <f>IFERROR(VALUE(TRIM('01_Corrupted_General_Ledger'!E24)), 1)</f>
        <v>310</v>
      </c>
      <c r="F24" s="2">
        <f>IFERROR(VALUE(TRIM(SUBSTITUTE(SUBSTITUTE('01_Corrupted_General_Ledger'!F24, "$", ""), " ", ""))), 0)</f>
        <v>40</v>
      </c>
      <c r="G24" s="2">
        <f t="shared" si="0"/>
        <v>12400</v>
      </c>
      <c r="H24" s="2" t="str">
        <f>IF(OR(ISERROR('01_Corrupted_General_Ledger'!G24), '01_Corrupted_General_Ledger'!D24="VEND-999"), "REPAIRED", "VERIFIED CLEAN")</f>
        <v>VERIFIED CLEAN</v>
      </c>
    </row>
    <row r="25" spans="1:8" x14ac:dyDescent="0.4">
      <c r="A25" s="2" t="str">
        <f>'01_Corrupted_General_Ledger'!A25</f>
        <v>TXN-1024</v>
      </c>
      <c r="B25" s="3">
        <f>'01_Corrupted_General_Ledger'!B25</f>
        <v>46034</v>
      </c>
      <c r="C25" s="2" t="str">
        <f>'01_Corrupted_General_Ledger'!C25</f>
        <v>6002-CAPEX</v>
      </c>
      <c r="D25" s="2" t="str">
        <f>IF(OR('01_Corrupted_General_Ledger'!D25="VEND-999", '01_Corrupted_General_Ledger'!D25="#N/A", ISBLANK('01_Corrupted_General_Ledger'!D25)), "VEND-DEFAULT", '01_Corrupted_General_Ledger'!D25)</f>
        <v>VEND-824</v>
      </c>
      <c r="E25" s="2">
        <f>IFERROR(VALUE(TRIM('01_Corrupted_General_Ledger'!E25)), 1)</f>
        <v>1</v>
      </c>
      <c r="F25" s="2">
        <f>IFERROR(VALUE(TRIM(SUBSTITUTE(SUBSTITUTE('01_Corrupted_General_Ledger'!F25, "$", ""), " ", ""))), 0)</f>
        <v>115</v>
      </c>
      <c r="G25" s="2">
        <f t="shared" si="0"/>
        <v>115</v>
      </c>
      <c r="H25" s="2" t="str">
        <f>IF(OR(ISERROR('01_Corrupted_General_Ledger'!G25), '01_Corrupted_General_Ledger'!D25="VEND-999"), "REPAIRED", "VERIFIED CLEAN")</f>
        <v>REPAIRED</v>
      </c>
    </row>
    <row r="26" spans="1:8" x14ac:dyDescent="0.4">
      <c r="A26" s="2" t="str">
        <f>'01_Corrupted_General_Ledger'!A26</f>
        <v>TXN-1025</v>
      </c>
      <c r="B26" s="3">
        <f>'01_Corrupted_General_Ledger'!B26</f>
        <v>46035</v>
      </c>
      <c r="C26" s="2" t="str">
        <f>'01_Corrupted_General_Ledger'!C26</f>
        <v>6003-SUPPLY</v>
      </c>
      <c r="D26" s="2" t="str">
        <f>IF(OR('01_Corrupted_General_Ledger'!D26="VEND-999", '01_Corrupted_General_Ledger'!D26="#N/A", ISBLANK('01_Corrupted_General_Ledger'!D26)), "VEND-DEFAULT", '01_Corrupted_General_Ledger'!D26)</f>
        <v>VEND-825</v>
      </c>
      <c r="E26" s="2">
        <f>IFERROR(VALUE(TRIM('01_Corrupted_General_Ledger'!E26)), 1)</f>
        <v>180</v>
      </c>
      <c r="F26" s="2">
        <f>IFERROR(VALUE(TRIM(SUBSTITUTE(SUBSTITUTE('01_Corrupted_General_Ledger'!F26, "$", ""), " ", ""))), 0)</f>
        <v>85</v>
      </c>
      <c r="G26" s="2">
        <f t="shared" si="0"/>
        <v>15300</v>
      </c>
      <c r="H26" s="2" t="str">
        <f>IF(OR(ISERROR('01_Corrupted_General_Ledger'!G26), '01_Corrupted_General_Ledger'!D26="VEND-999"), "REPAIRED", "VERIFIED CLEAN")</f>
        <v>VERIFIED CLEAN</v>
      </c>
    </row>
    <row r="27" spans="1:8" x14ac:dyDescent="0.4">
      <c r="A27" s="2" t="str">
        <f>'01_Corrupted_General_Ledger'!A27</f>
        <v>TXN-1026</v>
      </c>
      <c r="B27" s="3">
        <f>'01_Corrupted_General_Ledger'!B27</f>
        <v>46035</v>
      </c>
      <c r="C27" s="2" t="str">
        <f>'01_Corrupted_General_Ledger'!C27</f>
        <v>6001-OPEX</v>
      </c>
      <c r="D27" s="2" t="str">
        <f>IF(OR('01_Corrupted_General_Ledger'!D27="VEND-999", '01_Corrupted_General_Ledger'!D27="#N/A", ISBLANK('01_Corrupted_General_Ledger'!D27)), "VEND-DEFAULT", '01_Corrupted_General_Ledger'!D27)</f>
        <v>VEND-826</v>
      </c>
      <c r="E27" s="2">
        <f>IFERROR(VALUE(TRIM('01_Corrupted_General_Ledger'!E27)), 1)</f>
        <v>140</v>
      </c>
      <c r="F27" s="2">
        <f>IFERROR(VALUE(TRIM(SUBSTITUTE(SUBSTITUTE('01_Corrupted_General_Ledger'!F27, "$", ""), " ", ""))), 0)</f>
        <v>55</v>
      </c>
      <c r="G27" s="2">
        <f t="shared" si="0"/>
        <v>7700</v>
      </c>
      <c r="H27" s="2" t="str">
        <f>IF(OR(ISERROR('01_Corrupted_General_Ledger'!G27), '01_Corrupted_General_Ledger'!D27="VEND-999"), "REPAIRED", "VERIFIED CLEAN")</f>
        <v>VERIFIED CLEAN</v>
      </c>
    </row>
    <row r="28" spans="1:8" x14ac:dyDescent="0.4">
      <c r="A28" s="2" t="str">
        <f>'01_Corrupted_General_Ledger'!A28</f>
        <v>TXN-1027</v>
      </c>
      <c r="B28" s="3">
        <f>'01_Corrupted_General_Ledger'!B28</f>
        <v>46036</v>
      </c>
      <c r="C28" s="2" t="str">
        <f>'01_Corrupted_General_Ledger'!C28</f>
        <v>6002-CAPEX</v>
      </c>
      <c r="D28" s="2" t="str">
        <f>IF(OR('01_Corrupted_General_Ledger'!D28="VEND-999", '01_Corrupted_General_Ledger'!D28="#N/A", ISBLANK('01_Corrupted_General_Ledger'!D28)), "VEND-DEFAULT", '01_Corrupted_General_Ledger'!D28)</f>
        <v>VEND-DEFAULT</v>
      </c>
      <c r="E28" s="2">
        <f>IFERROR(VALUE(TRIM('01_Corrupted_General_Ledger'!E28)), 1)</f>
        <v>65</v>
      </c>
      <c r="F28" s="2">
        <f>IFERROR(VALUE(TRIM(SUBSTITUTE(SUBSTITUTE('01_Corrupted_General_Ledger'!F28, "$", ""), " ", ""))), 0)</f>
        <v>0</v>
      </c>
      <c r="G28" s="2">
        <f t="shared" si="0"/>
        <v>0</v>
      </c>
      <c r="H28" s="2" t="str">
        <f>IF(OR(ISERROR('01_Corrupted_General_Ledger'!G28), '01_Corrupted_General_Ledger'!D28="VEND-999"), "REPAIRED", "VERIFIED CLEAN")</f>
        <v>REPAIRED</v>
      </c>
    </row>
    <row r="29" spans="1:8" x14ac:dyDescent="0.4">
      <c r="A29" s="2" t="str">
        <f>'01_Corrupted_General_Ledger'!A29</f>
        <v>TXN-1028</v>
      </c>
      <c r="B29" s="3">
        <f>'01_Corrupted_General_Ledger'!B29</f>
        <v>46036</v>
      </c>
      <c r="C29" s="2" t="str">
        <f>'01_Corrupted_General_Ledger'!C29</f>
        <v>6001-OPEX</v>
      </c>
      <c r="D29" s="2" t="str">
        <f>IF(OR('01_Corrupted_General_Ledger'!D29="VEND-999", '01_Corrupted_General_Ledger'!D29="#N/A", ISBLANK('01_Corrupted_General_Ledger'!D29)), "VEND-DEFAULT", '01_Corrupted_General_Ledger'!D29)</f>
        <v>VEND-828</v>
      </c>
      <c r="E29" s="2">
        <f>IFERROR(VALUE(TRIM('01_Corrupted_General_Ledger'!E29)), 1)</f>
        <v>0</v>
      </c>
      <c r="F29" s="2">
        <f>IFERROR(VALUE(TRIM(SUBSTITUTE(SUBSTITUTE('01_Corrupted_General_Ledger'!F29, "$", ""), " ", ""))), 0)</f>
        <v>145</v>
      </c>
      <c r="G29" s="2">
        <f t="shared" si="0"/>
        <v>0</v>
      </c>
      <c r="H29" s="2" t="str">
        <f>IF(OR(ISERROR('01_Corrupted_General_Ledger'!G29), '01_Corrupted_General_Ledger'!D29="VEND-999"), "REPAIRED", "VERIFIED CLEAN")</f>
        <v>REPAIRED</v>
      </c>
    </row>
    <row r="30" spans="1:8" x14ac:dyDescent="0.4">
      <c r="A30" s="2" t="str">
        <f>'01_Corrupted_General_Ledger'!A30</f>
        <v>TXN-1029</v>
      </c>
      <c r="B30" s="3">
        <f>'01_Corrupted_General_Ledger'!B30</f>
        <v>46037</v>
      </c>
      <c r="C30" s="2" t="str">
        <f>'01_Corrupted_General_Ledger'!C30</f>
        <v>6003-SUPPLY</v>
      </c>
      <c r="D30" s="2" t="str">
        <f>IF(OR('01_Corrupted_General_Ledger'!D30="VEND-999", '01_Corrupted_General_Ledger'!D30="#N/A", ISBLANK('01_Corrupted_General_Ledger'!D30)), "VEND-DEFAULT", '01_Corrupted_General_Ledger'!D30)</f>
        <v>VEND-829</v>
      </c>
      <c r="E30" s="2">
        <f>IFERROR(VALUE(TRIM('01_Corrupted_General_Ledger'!E30)), 1)</f>
        <v>210</v>
      </c>
      <c r="F30" s="2">
        <f>IFERROR(VALUE(TRIM(SUBSTITUTE(SUBSTITUTE('01_Corrupted_General_Ledger'!F30, "$", ""), " ", ""))), 0)</f>
        <v>18.5</v>
      </c>
      <c r="G30" s="2">
        <f t="shared" si="0"/>
        <v>3885</v>
      </c>
      <c r="H30" s="2" t="str">
        <f>IF(OR(ISERROR('01_Corrupted_General_Ledger'!G30), '01_Corrupted_General_Ledger'!D30="VEND-999"), "REPAIRED", "VERIFIED CLEAN")</f>
        <v>VERIFIED CLEAN</v>
      </c>
    </row>
    <row r="31" spans="1:8" x14ac:dyDescent="0.4">
      <c r="A31" s="2" t="str">
        <f>'01_Corrupted_General_Ledger'!A31</f>
        <v>TXN-1030</v>
      </c>
      <c r="B31" s="3">
        <f>'01_Corrupted_General_Ledger'!B31</f>
        <v>46037</v>
      </c>
      <c r="C31" s="2" t="str">
        <f>'01_Corrupted_General_Ledger'!C31</f>
        <v>6001-OPEX</v>
      </c>
      <c r="D31" s="2" t="str">
        <f>IF(OR('01_Corrupted_General_Ledger'!D31="VEND-999", '01_Corrupted_General_Ledger'!D31="#N/A", ISBLANK('01_Corrupted_General_Ledger'!D31)), "VEND-DEFAULT", '01_Corrupted_General_Ledger'!D31)</f>
        <v>VEND-830</v>
      </c>
      <c r="E31" s="2">
        <f>IFERROR(VALUE(TRIM('01_Corrupted_General_Ledger'!E31)), 1)</f>
        <v>45</v>
      </c>
      <c r="F31" s="2">
        <f>IFERROR(VALUE(TRIM(SUBSTITUTE(SUBSTITUTE('01_Corrupted_General_Ledger'!F31, "$", ""), " ", ""))), 0)</f>
        <v>290</v>
      </c>
      <c r="G31" s="2">
        <f t="shared" si="0"/>
        <v>13050</v>
      </c>
      <c r="H31" s="2" t="str">
        <f>IF(OR(ISERROR('01_Corrupted_General_Ledger'!G31), '01_Corrupted_General_Ledger'!D31="VEND-999"), "REPAIRED", "VERIFIED CLEAN")</f>
        <v>VERIFIED CLEAN</v>
      </c>
    </row>
    <row r="32" spans="1:8" x14ac:dyDescent="0.4">
      <c r="A32" s="2" t="str">
        <f>'01_Corrupted_General_Ledger'!A32</f>
        <v>TXN-1031</v>
      </c>
      <c r="B32" s="3">
        <f>'01_Corrupted_General_Ledger'!B32</f>
        <v>46038</v>
      </c>
      <c r="C32" s="2" t="str">
        <f>'01_Corrupted_General_Ledger'!C32</f>
        <v>6004-TRAVEL</v>
      </c>
      <c r="D32" s="2" t="str">
        <f>IF(OR('01_Corrupted_General_Ledger'!D32="VEND-999", '01_Corrupted_General_Ledger'!D32="#N/A", ISBLANK('01_Corrupted_General_Ledger'!D32)), "VEND-DEFAULT", '01_Corrupted_General_Ledger'!D32)</f>
        <v>VEND-831</v>
      </c>
      <c r="E32" s="2">
        <f>IFERROR(VALUE(TRIM('01_Corrupted_General_Ledger'!E32)), 1)</f>
        <v>1</v>
      </c>
      <c r="F32" s="2">
        <f>IFERROR(VALUE(TRIM(SUBSTITUTE(SUBSTITUTE('01_Corrupted_General_Ledger'!F32, "$", ""), " ", ""))), 0)</f>
        <v>80</v>
      </c>
      <c r="G32" s="2">
        <f t="shared" si="0"/>
        <v>80</v>
      </c>
      <c r="H32" s="2" t="str">
        <f>IF(OR(ISERROR('01_Corrupted_General_Ledger'!G32), '01_Corrupted_General_Ledger'!D32="VEND-999"), "REPAIRED", "VERIFIED CLEAN")</f>
        <v>REPAIRED</v>
      </c>
    </row>
    <row r="33" spans="1:8" x14ac:dyDescent="0.4">
      <c r="A33" s="2" t="str">
        <f>'01_Corrupted_General_Ledger'!A33</f>
        <v>TXN-1032</v>
      </c>
      <c r="B33" s="3">
        <f>'01_Corrupted_General_Ledger'!B33</f>
        <v>46038</v>
      </c>
      <c r="C33" s="2" t="str">
        <f>'01_Corrupted_General_Ledger'!C33</f>
        <v>6002-CAPEX</v>
      </c>
      <c r="D33" s="2" t="str">
        <f>IF(OR('01_Corrupted_General_Ledger'!D33="VEND-999", '01_Corrupted_General_Ledger'!D33="#N/A", ISBLANK('01_Corrupted_General_Ledger'!D33)), "VEND-DEFAULT", '01_Corrupted_General_Ledger'!D33)</f>
        <v>VEND-832</v>
      </c>
      <c r="E33" s="2">
        <f>IFERROR(VALUE(TRIM('01_Corrupted_General_Ledger'!E33)), 1)</f>
        <v>110</v>
      </c>
      <c r="F33" s="2">
        <f>IFERROR(VALUE(TRIM(SUBSTITUTE(SUBSTITUTE('01_Corrupted_General_Ledger'!F33, "$", ""), " ", ""))), 0)</f>
        <v>105</v>
      </c>
      <c r="G33" s="2">
        <f t="shared" si="0"/>
        <v>11550</v>
      </c>
      <c r="H33" s="2" t="str">
        <f>IF(OR(ISERROR('01_Corrupted_General_Ledger'!G33), '01_Corrupted_General_Ledger'!D33="VEND-999"), "REPAIRED", "VERIFIED CLEAN")</f>
        <v>VERIFIED CLEAN</v>
      </c>
    </row>
    <row r="34" spans="1:8" x14ac:dyDescent="0.4">
      <c r="A34" s="2" t="str">
        <f>'01_Corrupted_General_Ledger'!A34</f>
        <v>TXN-1033</v>
      </c>
      <c r="B34" s="3">
        <f>'01_Corrupted_General_Ledger'!B34</f>
        <v>46039</v>
      </c>
      <c r="C34" s="2" t="str">
        <f>'01_Corrupted_General_Ledger'!C34</f>
        <v>6003-SUPPLY</v>
      </c>
      <c r="D34" s="2" t="str">
        <f>IF(OR('01_Corrupted_General_Ledger'!D34="VEND-999", '01_Corrupted_General_Ledger'!D34="#N/A", ISBLANK('01_Corrupted_General_Ledger'!D34)), "VEND-DEFAULT", '01_Corrupted_General_Ledger'!D34)</f>
        <v>VEND-833</v>
      </c>
      <c r="E34" s="2">
        <f>IFERROR(VALUE(TRIM('01_Corrupted_General_Ledger'!E34)), 1)</f>
        <v>280</v>
      </c>
      <c r="F34" s="2">
        <f>IFERROR(VALUE(TRIM(SUBSTITUTE(SUBSTITUTE('01_Corrupted_General_Ledger'!F34, "$", ""), " ", ""))), 0)</f>
        <v>0</v>
      </c>
      <c r="G34" s="2">
        <f t="shared" si="0"/>
        <v>0</v>
      </c>
      <c r="H34" s="2" t="str">
        <f>IF(OR(ISERROR('01_Corrupted_General_Ledger'!G34), '01_Corrupted_General_Ledger'!D34="VEND-999"), "REPAIRED", "VERIFIED CLEAN")</f>
        <v>REPAIRED</v>
      </c>
    </row>
    <row r="35" spans="1:8" x14ac:dyDescent="0.4">
      <c r="A35" s="2" t="str">
        <f>'01_Corrupted_General_Ledger'!A35</f>
        <v>TXN-1034</v>
      </c>
      <c r="B35" s="3">
        <f>'01_Corrupted_General_Ledger'!B35</f>
        <v>46039</v>
      </c>
      <c r="C35" s="2" t="str">
        <f>'01_Corrupted_General_Ledger'!C35</f>
        <v>6001-OPEX</v>
      </c>
      <c r="D35" s="2" t="str">
        <f>IF(OR('01_Corrupted_General_Ledger'!D35="VEND-999", '01_Corrupted_General_Ledger'!D35="#N/A", ISBLANK('01_Corrupted_General_Ledger'!D35)), "VEND-DEFAULT", '01_Corrupted_General_Ledger'!D35)</f>
        <v>VEND-DEFAULT</v>
      </c>
      <c r="E35" s="2">
        <f>IFERROR(VALUE(TRIM('01_Corrupted_General_Ledger'!E35)), 1)</f>
        <v>50</v>
      </c>
      <c r="F35" s="2">
        <f>IFERROR(VALUE(TRIM(SUBSTITUTE(SUBSTITUTE('01_Corrupted_General_Ledger'!F35, "$", ""), " ", ""))), 0)</f>
        <v>0</v>
      </c>
      <c r="G35" s="2">
        <f t="shared" si="0"/>
        <v>0</v>
      </c>
      <c r="H35" s="2" t="str">
        <f>IF(OR(ISERROR('01_Corrupted_General_Ledger'!G35), '01_Corrupted_General_Ledger'!D35="VEND-999"), "REPAIRED", "VERIFIED CLEAN")</f>
        <v>REPAIRED</v>
      </c>
    </row>
    <row r="36" spans="1:8" x14ac:dyDescent="0.4">
      <c r="A36" s="2" t="str">
        <f>'01_Corrupted_General_Ledger'!A36</f>
        <v>TXN-1035</v>
      </c>
      <c r="B36" s="3">
        <f>'01_Corrupted_General_Ledger'!B36</f>
        <v>46040</v>
      </c>
      <c r="C36" s="2" t="str">
        <f>'01_Corrupted_General_Ledger'!C36</f>
        <v>6004-TRAVEL</v>
      </c>
      <c r="D36" s="2" t="str">
        <f>IF(OR('01_Corrupted_General_Ledger'!D36="VEND-999", '01_Corrupted_General_Ledger'!D36="#N/A", ISBLANK('01_Corrupted_General_Ledger'!D36)), "VEND-DEFAULT", '01_Corrupted_General_Ledger'!D36)</f>
        <v>VEND-835</v>
      </c>
      <c r="E36" s="2">
        <f>IFERROR(VALUE(TRIM('01_Corrupted_General_Ledger'!E36)), 1)</f>
        <v>450</v>
      </c>
      <c r="F36" s="2">
        <f>IFERROR(VALUE(TRIM(SUBSTITUTE(SUBSTITUTE('01_Corrupted_General_Ledger'!F36, "$", ""), " ", ""))), 0)</f>
        <v>15</v>
      </c>
      <c r="G36" s="2">
        <f t="shared" si="0"/>
        <v>6750</v>
      </c>
      <c r="H36" s="2" t="str">
        <f>IF(OR(ISERROR('01_Corrupted_General_Ledger'!G36), '01_Corrupted_General_Ledger'!D36="VEND-999"), "REPAIRED", "VERIFIED CLEAN")</f>
        <v>VERIFIED CLEAN</v>
      </c>
    </row>
    <row r="37" spans="1:8" x14ac:dyDescent="0.4">
      <c r="A37" s="2" t="str">
        <f>'01_Corrupted_General_Ledger'!A37</f>
        <v>TXN-1036</v>
      </c>
      <c r="B37" s="3">
        <f>'01_Corrupted_General_Ledger'!B37</f>
        <v>46040</v>
      </c>
      <c r="C37" s="2" t="str">
        <f>'01_Corrupted_General_Ledger'!C37</f>
        <v>6002-CAPEX</v>
      </c>
      <c r="D37" s="2" t="str">
        <f>IF(OR('01_Corrupted_General_Ledger'!D37="VEND-999", '01_Corrupted_General_Ledger'!D37="#N/A", ISBLANK('01_Corrupted_General_Ledger'!D37)), "VEND-DEFAULT", '01_Corrupted_General_Ledger'!D37)</f>
        <v>VEND-836</v>
      </c>
      <c r="E37" s="2">
        <f>IFERROR(VALUE(TRIM('01_Corrupted_General_Ledger'!E37)), 1)</f>
        <v>160</v>
      </c>
      <c r="F37" s="2">
        <f>IFERROR(VALUE(TRIM(SUBSTITUTE(SUBSTITUTE('01_Corrupted_General_Ledger'!F37, "$", ""), " ", ""))), 0)</f>
        <v>92</v>
      </c>
      <c r="G37" s="2">
        <f t="shared" si="0"/>
        <v>14720</v>
      </c>
      <c r="H37" s="2" t="str">
        <f>IF(OR(ISERROR('01_Corrupted_General_Ledger'!G37), '01_Corrupted_General_Ledger'!D37="VEND-999"), "REPAIRED", "VERIFIED CLEAN")</f>
        <v>VERIFIED CLEAN</v>
      </c>
    </row>
    <row r="38" spans="1:8" x14ac:dyDescent="0.4">
      <c r="A38" s="2" t="str">
        <f>'01_Corrupted_General_Ledger'!A38</f>
        <v>TXN-1037</v>
      </c>
      <c r="B38" s="3">
        <f>'01_Corrupted_General_Ledger'!B38</f>
        <v>46041</v>
      </c>
      <c r="C38" s="2" t="str">
        <f>'01_Corrupted_General_Ledger'!C38</f>
        <v>6001-OPEX</v>
      </c>
      <c r="D38" s="2" t="str">
        <f>IF(OR('01_Corrupted_General_Ledger'!D38="VEND-999", '01_Corrupted_General_Ledger'!D38="#N/A", ISBLANK('01_Corrupted_General_Ledger'!D38)), "VEND-DEFAULT", '01_Corrupted_General_Ledger'!D38)</f>
        <v>VEND-837</v>
      </c>
      <c r="E38" s="2">
        <f>IFERROR(VALUE(TRIM('01_Corrupted_General_Ledger'!E38)), 1)</f>
        <v>0</v>
      </c>
      <c r="F38" s="2">
        <f>IFERROR(VALUE(TRIM(SUBSTITUTE(SUBSTITUTE('01_Corrupted_General_Ledger'!F38, "$", ""), " ", ""))), 0)</f>
        <v>230</v>
      </c>
      <c r="G38" s="2">
        <f t="shared" si="0"/>
        <v>0</v>
      </c>
      <c r="H38" s="2" t="str">
        <f>IF(OR(ISERROR('01_Corrupted_General_Ledger'!G38), '01_Corrupted_General_Ledger'!D38="VEND-999"), "REPAIRED", "VERIFIED CLEAN")</f>
        <v>REPAIRED</v>
      </c>
    </row>
    <row r="39" spans="1:8" x14ac:dyDescent="0.4">
      <c r="A39" s="2" t="str">
        <f>'01_Corrupted_General_Ledger'!A39</f>
        <v>TXN-1038</v>
      </c>
      <c r="B39" s="3">
        <f>'01_Corrupted_General_Ledger'!B39</f>
        <v>46041</v>
      </c>
      <c r="C39" s="2" t="str">
        <f>'01_Corrupted_General_Ledger'!C39</f>
        <v>6003-SUPPLY</v>
      </c>
      <c r="D39" s="2" t="str">
        <f>IF(OR('01_Corrupted_General_Ledger'!D39="VEND-999", '01_Corrupted_General_Ledger'!D39="#N/A", ISBLANK('01_Corrupted_General_Ledger'!D39)), "VEND-DEFAULT", '01_Corrupted_General_Ledger'!D39)</f>
        <v>VEND-838</v>
      </c>
      <c r="E39" s="2">
        <f>IFERROR(VALUE(TRIM('01_Corrupted_General_Ledger'!E39)), 1)</f>
        <v>85</v>
      </c>
      <c r="F39" s="2">
        <f>IFERROR(VALUE(TRIM(SUBSTITUTE(SUBSTITUTE('01_Corrupted_General_Ledger'!F39, "$", ""), " ", ""))), 0)</f>
        <v>155</v>
      </c>
      <c r="G39" s="2">
        <f t="shared" si="0"/>
        <v>13175</v>
      </c>
      <c r="H39" s="2" t="str">
        <f>IF(OR(ISERROR('01_Corrupted_General_Ledger'!G39), '01_Corrupted_General_Ledger'!D39="VEND-999"), "REPAIRED", "VERIFIED CLEAN")</f>
        <v>VERIFIED CLEAN</v>
      </c>
    </row>
    <row r="40" spans="1:8" x14ac:dyDescent="0.4">
      <c r="A40" s="2" t="str">
        <f>'01_Corrupted_General_Ledger'!A40</f>
        <v>TXN-1039</v>
      </c>
      <c r="B40" s="3">
        <f>'01_Corrupted_General_Ledger'!B40</f>
        <v>46042</v>
      </c>
      <c r="C40" s="2" t="str">
        <f>'01_Corrupted_General_Ledger'!C40</f>
        <v>6001-OPEX</v>
      </c>
      <c r="D40" s="2" t="str">
        <f>IF(OR('01_Corrupted_General_Ledger'!D40="VEND-999", '01_Corrupted_General_Ledger'!D40="#N/A", ISBLANK('01_Corrupted_General_Ledger'!D40)), "VEND-DEFAULT", '01_Corrupted_General_Ledger'!D40)</f>
        <v>VEND-839</v>
      </c>
      <c r="E40" s="2">
        <f>IFERROR(VALUE(TRIM('01_Corrupted_General_Ledger'!E40)), 1)</f>
        <v>230</v>
      </c>
      <c r="F40" s="2">
        <f>IFERROR(VALUE(TRIM(SUBSTITUTE(SUBSTITUTE('01_Corrupted_General_Ledger'!F40, "$", ""), " ", ""))), 0)</f>
        <v>42</v>
      </c>
      <c r="G40" s="2">
        <f t="shared" si="0"/>
        <v>9660</v>
      </c>
      <c r="H40" s="2" t="str">
        <f>IF(OR(ISERROR('01_Corrupted_General_Ledger'!G40), '01_Corrupted_General_Ledger'!D40="VEND-999"), "REPAIRED", "VERIFIED CLEAN")</f>
        <v>VERIFIED CLEAN</v>
      </c>
    </row>
    <row r="41" spans="1:8" x14ac:dyDescent="0.4">
      <c r="A41" s="2" t="str">
        <f>'01_Corrupted_General_Ledger'!A41</f>
        <v>TXN-1040</v>
      </c>
      <c r="B41" s="3">
        <f>'01_Corrupted_General_Ledger'!B41</f>
        <v>46042</v>
      </c>
      <c r="C41" s="2" t="str">
        <f>'01_Corrupted_General_Ledger'!C41</f>
        <v>6004-TRAVEL</v>
      </c>
      <c r="D41" s="2" t="str">
        <f>IF(OR('01_Corrupted_General_Ledger'!D41="VEND-999", '01_Corrupted_General_Ledger'!D41="#N/A", ISBLANK('01_Corrupted_General_Ledger'!D41)), "VEND-DEFAULT", '01_Corrupted_General_Ledger'!D41)</f>
        <v>VEND-DEFAULT</v>
      </c>
      <c r="E41" s="2">
        <f>IFERROR(VALUE(TRIM('01_Corrupted_General_Ledger'!E41)), 1)</f>
        <v>100</v>
      </c>
      <c r="F41" s="2">
        <f>IFERROR(VALUE(TRIM(SUBSTITUTE(SUBSTITUTE('01_Corrupted_General_Ledger'!F41, "$", ""), " ", ""))), 0)</f>
        <v>0</v>
      </c>
      <c r="G41" s="2">
        <f t="shared" si="0"/>
        <v>0</v>
      </c>
      <c r="H41" s="2" t="str">
        <f>IF(OR(ISERROR('01_Corrupted_General_Ledger'!G41), '01_Corrupted_General_Ledger'!D41="VEND-999"), "REPAIRED", "VERIFIED CLEAN")</f>
        <v>REPAIRED</v>
      </c>
    </row>
    <row r="42" spans="1:8" x14ac:dyDescent="0.4">
      <c r="A42" s="2" t="str">
        <f>'01_Corrupted_General_Ledger'!A42</f>
        <v>TXN-1041</v>
      </c>
      <c r="B42" s="3">
        <f>'01_Corrupted_General_Ledger'!B42</f>
        <v>46043</v>
      </c>
      <c r="C42" s="2" t="str">
        <f>'01_Corrupted_General_Ledger'!C42</f>
        <v>6002-CAPEX</v>
      </c>
      <c r="D42" s="2" t="str">
        <f>IF(OR('01_Corrupted_General_Ledger'!D42="VEND-999", '01_Corrupted_General_Ledger'!D42="#N/A", ISBLANK('01_Corrupted_General_Ledger'!D42)), "VEND-DEFAULT", '01_Corrupted_General_Ledger'!D42)</f>
        <v>VEND-841</v>
      </c>
      <c r="E42" s="2">
        <f>IFERROR(VALUE(TRIM('01_Corrupted_General_Ledger'!E42)), 1)</f>
        <v>1</v>
      </c>
      <c r="F42" s="2">
        <f>IFERROR(VALUE(TRIM(SUBSTITUTE(SUBSTITUTE('01_Corrupted_General_Ledger'!F42, "$", ""), " ", ""))), 0)</f>
        <v>68</v>
      </c>
      <c r="G42" s="2">
        <f t="shared" si="0"/>
        <v>68</v>
      </c>
      <c r="H42" s="2" t="str">
        <f>IF(OR(ISERROR('01_Corrupted_General_Ledger'!G42), '01_Corrupted_General_Ledger'!D42="VEND-999"), "REPAIRED", "VERIFIED CLEAN")</f>
        <v>REPAIRED</v>
      </c>
    </row>
    <row r="43" spans="1:8" x14ac:dyDescent="0.4">
      <c r="A43" s="2" t="str">
        <f>'01_Corrupted_General_Ledger'!A43</f>
        <v>TXN-1042</v>
      </c>
      <c r="B43" s="3">
        <f>'01_Corrupted_General_Ledger'!B43</f>
        <v>46043</v>
      </c>
      <c r="C43" s="2" t="str">
        <f>'01_Corrupted_General_Ledger'!C43</f>
        <v>6003-SUPPLY</v>
      </c>
      <c r="D43" s="2" t="str">
        <f>IF(OR('01_Corrupted_General_Ledger'!D43="VEND-999", '01_Corrupted_General_Ledger'!D43="#N/A", ISBLANK('01_Corrupted_General_Ledger'!D43)), "VEND-DEFAULT", '01_Corrupted_General_Ledger'!D43)</f>
        <v>VEND-842</v>
      </c>
      <c r="E43" s="2">
        <f>IFERROR(VALUE(TRIM('01_Corrupted_General_Ledger'!E43)), 1)</f>
        <v>380</v>
      </c>
      <c r="F43" s="2">
        <f>IFERROR(VALUE(TRIM(SUBSTITUTE(SUBSTITUTE('01_Corrupted_General_Ledger'!F43, "$", ""), " ", ""))), 0)</f>
        <v>22</v>
      </c>
      <c r="G43" s="2">
        <f t="shared" si="0"/>
        <v>8360</v>
      </c>
      <c r="H43" s="2" t="str">
        <f>IF(OR(ISERROR('01_Corrupted_General_Ledger'!G43), '01_Corrupted_General_Ledger'!D43="VEND-999"), "REPAIRED", "VERIFIED CLEAN")</f>
        <v>VERIFIED CLEAN</v>
      </c>
    </row>
    <row r="44" spans="1:8" x14ac:dyDescent="0.4">
      <c r="A44" s="2" t="str">
        <f>'01_Corrupted_General_Ledger'!A44</f>
        <v>TXN-1043</v>
      </c>
      <c r="B44" s="3">
        <f>'01_Corrupted_General_Ledger'!B44</f>
        <v>46044</v>
      </c>
      <c r="C44" s="2" t="str">
        <f>'01_Corrupted_General_Ledger'!C44</f>
        <v>6001-OPEX</v>
      </c>
      <c r="D44" s="2" t="str">
        <f>IF(OR('01_Corrupted_General_Ledger'!D44="VEND-999", '01_Corrupted_General_Ledger'!D44="#N/A", ISBLANK('01_Corrupted_General_Ledger'!D44)), "VEND-DEFAULT", '01_Corrupted_General_Ledger'!D44)</f>
        <v>VEND-843</v>
      </c>
      <c r="E44" s="2">
        <f>IFERROR(VALUE(TRIM('01_Corrupted_General_Ledger'!E44)), 1)</f>
        <v>55</v>
      </c>
      <c r="F44" s="2">
        <f>IFERROR(VALUE(TRIM(SUBSTITUTE(SUBSTITUTE('01_Corrupted_General_Ledger'!F44, "$", ""), " ", ""))), 0)</f>
        <v>480</v>
      </c>
      <c r="G44" s="2">
        <f t="shared" si="0"/>
        <v>26400</v>
      </c>
      <c r="H44" s="2" t="str">
        <f>IF(OR(ISERROR('01_Corrupted_General_Ledger'!G44), '01_Corrupted_General_Ledger'!D44="VEND-999"), "REPAIRED", "VERIFIED CLEAN")</f>
        <v>VERIFIED CLEAN</v>
      </c>
    </row>
    <row r="45" spans="1:8" x14ac:dyDescent="0.4">
      <c r="A45" s="2" t="str">
        <f>'01_Corrupted_General_Ledger'!A45</f>
        <v>TXN-1044</v>
      </c>
      <c r="B45" s="3">
        <f>'01_Corrupted_General_Ledger'!B45</f>
        <v>46044</v>
      </c>
      <c r="C45" s="2" t="str">
        <f>'01_Corrupted_General_Ledger'!C45</f>
        <v>6004-TRAVEL</v>
      </c>
      <c r="D45" s="2" t="str">
        <f>IF(OR('01_Corrupted_General_Ledger'!D45="VEND-999", '01_Corrupted_General_Ledger'!D45="#N/A", ISBLANK('01_Corrupted_General_Ledger'!D45)), "VEND-DEFAULT", '01_Corrupted_General_Ledger'!D45)</f>
        <v>VEND-844</v>
      </c>
      <c r="E45" s="2">
        <f>IFERROR(VALUE(TRIM('01_Corrupted_General_Ledger'!E45)), 1)</f>
        <v>0</v>
      </c>
      <c r="F45" s="2">
        <f>IFERROR(VALUE(TRIM(SUBSTITUTE(SUBSTITUTE('01_Corrupted_General_Ledger'!F45, "$", ""), " ", ""))), 0)</f>
        <v>190</v>
      </c>
      <c r="G45" s="2">
        <f t="shared" si="0"/>
        <v>0</v>
      </c>
      <c r="H45" s="2" t="str">
        <f>IF(OR(ISERROR('01_Corrupted_General_Ledger'!G45), '01_Corrupted_General_Ledger'!D45="VEND-999"), "REPAIRED", "VERIFIED CLEAN")</f>
        <v>REPAIRED</v>
      </c>
    </row>
    <row r="46" spans="1:8" x14ac:dyDescent="0.4">
      <c r="A46" s="2" t="str">
        <f>'01_Corrupted_General_Ledger'!A46</f>
        <v>TXN-1045</v>
      </c>
      <c r="B46" s="3">
        <f>'01_Corrupted_General_Ledger'!B46</f>
        <v>46045</v>
      </c>
      <c r="C46" s="2" t="str">
        <f>'01_Corrupted_General_Ledger'!C46</f>
        <v>6002-CAPEX</v>
      </c>
      <c r="D46" s="2" t="str">
        <f>IF(OR('01_Corrupted_General_Ledger'!D46="VEND-999", '01_Corrupted_General_Ledger'!D46="#N/A", ISBLANK('01_Corrupted_General_Ledger'!D46)), "VEND-DEFAULT", '01_Corrupted_General_Ledger'!D46)</f>
        <v>VEND-845</v>
      </c>
      <c r="E46" s="2">
        <f>IFERROR(VALUE(TRIM('01_Corrupted_General_Ledger'!E46)), 1)</f>
        <v>125</v>
      </c>
      <c r="F46" s="2">
        <f>IFERROR(VALUE(TRIM(SUBSTITUTE(SUBSTITUTE('01_Corrupted_General_Ledger'!F46, "$", ""), " ", ""))), 0)</f>
        <v>60</v>
      </c>
      <c r="G46" s="2">
        <f t="shared" si="0"/>
        <v>7500</v>
      </c>
      <c r="H46" s="2" t="str">
        <f>IF(OR(ISERROR('01_Corrupted_General_Ledger'!G46), '01_Corrupted_General_Ledger'!D46="VEND-999"), "REPAIRED", "VERIFIED CLEAN")</f>
        <v>VERIFIED CLEAN</v>
      </c>
    </row>
    <row r="47" spans="1:8" x14ac:dyDescent="0.4">
      <c r="A47" s="2" t="str">
        <f>'01_Corrupted_General_Ledger'!A47</f>
        <v>TXN-1046</v>
      </c>
      <c r="B47" s="3">
        <f>'01_Corrupted_General_Ledger'!B47</f>
        <v>46045</v>
      </c>
      <c r="C47" s="2" t="str">
        <f>'01_Corrupted_General_Ledger'!C47</f>
        <v>6003-SUPPLY</v>
      </c>
      <c r="D47" s="2" t="str">
        <f>IF(OR('01_Corrupted_General_Ledger'!D47="VEND-999", '01_Corrupted_General_Ledger'!D47="#N/A", ISBLANK('01_Corrupted_General_Ledger'!D47)), "VEND-DEFAULT", '01_Corrupted_General_Ledger'!D47)</f>
        <v>VEND-846</v>
      </c>
      <c r="E47" s="2">
        <f>IFERROR(VALUE(TRIM('01_Corrupted_General_Ledger'!E47)), 1)</f>
        <v>240</v>
      </c>
      <c r="F47" s="2">
        <f>IFERROR(VALUE(TRIM(SUBSTITUTE(SUBSTITUTE('01_Corrupted_General_Ledger'!F47, "$", ""), " ", ""))), 0)</f>
        <v>28</v>
      </c>
      <c r="G47" s="2">
        <f t="shared" si="0"/>
        <v>6720</v>
      </c>
      <c r="H47" s="2" t="str">
        <f>IF(OR(ISERROR('01_Corrupted_General_Ledger'!G47), '01_Corrupted_General_Ledger'!D47="VEND-999"), "REPAIRED", "VERIFIED CLEAN")</f>
        <v>VERIFIED CLEAN</v>
      </c>
    </row>
    <row r="48" spans="1:8" x14ac:dyDescent="0.4">
      <c r="A48" s="2" t="str">
        <f>'01_Corrupted_General_Ledger'!A48</f>
        <v>TXN-1047</v>
      </c>
      <c r="B48" s="3">
        <f>'01_Corrupted_General_Ledger'!B48</f>
        <v>46046</v>
      </c>
      <c r="C48" s="2" t="str">
        <f>'01_Corrupted_General_Ledger'!C48</f>
        <v>6001-OPEX</v>
      </c>
      <c r="D48" s="2" t="str">
        <f>IF(OR('01_Corrupted_General_Ledger'!D48="VEND-999", '01_Corrupted_General_Ledger'!D48="#N/A", ISBLANK('01_Corrupted_General_Ledger'!D48)), "VEND-DEFAULT", '01_Corrupted_General_Ledger'!D48)</f>
        <v>VEND-DEFAULT</v>
      </c>
      <c r="E48" s="2">
        <f>IFERROR(VALUE(TRIM('01_Corrupted_General_Ledger'!E48)), 1)</f>
        <v>90</v>
      </c>
      <c r="F48" s="2">
        <f>IFERROR(VALUE(TRIM(SUBSTITUTE(SUBSTITUTE('01_Corrupted_General_Ledger'!F48, "$", ""), " ", ""))), 0)</f>
        <v>0</v>
      </c>
      <c r="G48" s="2">
        <f t="shared" si="0"/>
        <v>0</v>
      </c>
      <c r="H48" s="2" t="str">
        <f>IF(OR(ISERROR('01_Corrupted_General_Ledger'!G48), '01_Corrupted_General_Ledger'!D48="VEND-999"), "REPAIRED", "VERIFIED CLEAN")</f>
        <v>REPAIRED</v>
      </c>
    </row>
    <row r="49" spans="1:8" x14ac:dyDescent="0.4">
      <c r="A49" s="2" t="str">
        <f>'01_Corrupted_General_Ledger'!A49</f>
        <v>TXN-1048</v>
      </c>
      <c r="B49" s="3">
        <f>'01_Corrupted_General_Ledger'!B49</f>
        <v>46046</v>
      </c>
      <c r="C49" s="2" t="str">
        <f>'01_Corrupted_General_Ledger'!C49</f>
        <v>6004-TRAVEL</v>
      </c>
      <c r="D49" s="2" t="str">
        <f>IF(OR('01_Corrupted_General_Ledger'!D49="VEND-999", '01_Corrupted_General_Ledger'!D49="#N/A", ISBLANK('01_Corrupted_General_Ledger'!D49)), "VEND-DEFAULT", '01_Corrupted_General_Ledger'!D49)</f>
        <v>VEND-848</v>
      </c>
      <c r="E49" s="2">
        <f>IFERROR(VALUE(TRIM('01_Corrupted_General_Ledger'!E49)), 1)</f>
        <v>300</v>
      </c>
      <c r="F49" s="2">
        <f>IFERROR(VALUE(TRIM(SUBSTITUTE(SUBSTITUTE('01_Corrupted_General_Ledger'!F49, "$", ""), " ", ""))), 0)</f>
        <v>48</v>
      </c>
      <c r="G49" s="2">
        <f t="shared" si="0"/>
        <v>14400</v>
      </c>
      <c r="H49" s="2" t="str">
        <f>IF(OR(ISERROR('01_Corrupted_General_Ledger'!G49), '01_Corrupted_General_Ledger'!D49="VEND-999"), "REPAIRED", "VERIFIED CLEAN")</f>
        <v>VERIFIED CLEAN</v>
      </c>
    </row>
    <row r="50" spans="1:8" x14ac:dyDescent="0.4">
      <c r="A50" s="2" t="str">
        <f>'01_Corrupted_General_Ledger'!A50</f>
        <v>TXN-1049</v>
      </c>
      <c r="B50" s="3">
        <f>'01_Corrupted_General_Ledger'!B50</f>
        <v>46047</v>
      </c>
      <c r="C50" s="2" t="str">
        <f>'01_Corrupted_General_Ledger'!C50</f>
        <v>6002-CAPEX</v>
      </c>
      <c r="D50" s="2" t="str">
        <f>IF(OR('01_Corrupted_General_Ledger'!D50="VEND-999", '01_Corrupted_General_Ledger'!D50="#N/A", ISBLANK('01_Corrupted_General_Ledger'!D50)), "VEND-DEFAULT", '01_Corrupted_General_Ledger'!D50)</f>
        <v>VEND-849</v>
      </c>
      <c r="E50" s="2">
        <f>IFERROR(VALUE(TRIM('01_Corrupted_General_Ledger'!E50)), 1)</f>
        <v>1</v>
      </c>
      <c r="F50" s="2">
        <f>IFERROR(VALUE(TRIM(SUBSTITUTE(SUBSTITUTE('01_Corrupted_General_Ledger'!F50, "$", ""), " ", ""))), 0)</f>
        <v>120</v>
      </c>
      <c r="G50" s="2">
        <f t="shared" si="0"/>
        <v>120</v>
      </c>
      <c r="H50" s="2" t="str">
        <f>IF(OR(ISERROR('01_Corrupted_General_Ledger'!G50), '01_Corrupted_General_Ledger'!D50="VEND-999"), "REPAIRED", "VERIFIED CLEAN")</f>
        <v>REPAIRED</v>
      </c>
    </row>
    <row r="51" spans="1:8" x14ac:dyDescent="0.4">
      <c r="A51" s="2" t="str">
        <f>'01_Corrupted_General_Ledger'!A51</f>
        <v>TXN-1050</v>
      </c>
      <c r="B51" s="3">
        <f>'01_Corrupted_General_Ledger'!B51</f>
        <v>46047</v>
      </c>
      <c r="C51" s="2" t="str">
        <f>'01_Corrupted_General_Ledger'!C51</f>
        <v>6003-SUPPLY</v>
      </c>
      <c r="D51" s="2" t="str">
        <f>IF(OR('01_Corrupted_General_Ledger'!D51="VEND-999", '01_Corrupted_General_Ledger'!D51="#N/A", ISBLANK('01_Corrupted_General_Ledger'!D51)), "VEND-DEFAULT", '01_Corrupted_General_Ledger'!D51)</f>
        <v>VEND-850</v>
      </c>
      <c r="E51" s="2">
        <f>IFERROR(VALUE(TRIM('01_Corrupted_General_Ledger'!E51)), 1)</f>
        <v>170</v>
      </c>
      <c r="F51" s="2">
        <f>IFERROR(VALUE(TRIM(SUBSTITUTE(SUBSTITUTE('01_Corrupted_General_Ledger'!F51, "$", ""), " ", ""))), 0)</f>
        <v>90</v>
      </c>
      <c r="G51" s="2">
        <f t="shared" si="0"/>
        <v>15300</v>
      </c>
      <c r="H51" s="2" t="str">
        <f>IF(OR(ISERROR('01_Corrupted_General_Ledger'!G51), '01_Corrupted_General_Ledger'!D51="VEND-999"), "REPAIRED", "VERIFIED CLEAN")</f>
        <v>VERIFIED CLEAN</v>
      </c>
    </row>
    <row r="52" spans="1:8" x14ac:dyDescent="0.4">
      <c r="A52" s="2" t="str">
        <f>'01_Corrupted_General_Ledger'!A52</f>
        <v>TXN-1051</v>
      </c>
      <c r="B52" s="3">
        <f>'01_Corrupted_General_Ledger'!B52</f>
        <v>46048</v>
      </c>
      <c r="C52" s="2" t="str">
        <f>'01_Corrupted_General_Ledger'!C52</f>
        <v>6001-OPEX</v>
      </c>
      <c r="D52" s="2" t="str">
        <f>IF(OR('01_Corrupted_General_Ledger'!D52="VEND-999", '01_Corrupted_General_Ledger'!D52="#N/A", ISBLANK('01_Corrupted_General_Ledger'!D52)), "VEND-DEFAULT", '01_Corrupted_General_Ledger'!D52)</f>
        <v>VEND-851</v>
      </c>
      <c r="E52" s="2">
        <f>IFERROR(VALUE(TRIM('01_Corrupted_General_Ledger'!E52)), 1)</f>
        <v>130</v>
      </c>
      <c r="F52" s="2">
        <f>IFERROR(VALUE(TRIM(SUBSTITUTE(SUBSTITUTE('01_Corrupted_General_Ledger'!F52, "$", ""), " ", ""))), 0)</f>
        <v>48</v>
      </c>
      <c r="G52" s="2">
        <f t="shared" si="0"/>
        <v>6240</v>
      </c>
      <c r="H52" s="2" t="str">
        <f>IF(OR(ISERROR('01_Corrupted_General_Ledger'!G52), '01_Corrupted_General_Ledger'!D52="VEND-999"), "REPAIRED", "VERIFIED CLEAN")</f>
        <v>VERIFIED CLEAN</v>
      </c>
    </row>
    <row r="53" spans="1:8" x14ac:dyDescent="0.4">
      <c r="A53" s="2" t="str">
        <f>'01_Corrupted_General_Ledger'!A53</f>
        <v>TXN-1052</v>
      </c>
      <c r="B53" s="3">
        <f>'01_Corrupted_General_Ledger'!B53</f>
        <v>46048</v>
      </c>
      <c r="C53" s="2" t="str">
        <f>'01_Corrupted_General_Ledger'!C53</f>
        <v>6002-CAPEX</v>
      </c>
      <c r="D53" s="2" t="str">
        <f>IF(OR('01_Corrupted_General_Ledger'!D53="VEND-999", '01_Corrupted_General_Ledger'!D53="#N/A", ISBLANK('01_Corrupted_General_Ledger'!D53)), "VEND-DEFAULT", '01_Corrupted_General_Ledger'!D53)</f>
        <v>VEND-DEFAULT</v>
      </c>
      <c r="E53" s="2">
        <f>IFERROR(VALUE(TRIM('01_Corrupted_General_Ledger'!E53)), 1)</f>
        <v>75</v>
      </c>
      <c r="F53" s="2">
        <f>IFERROR(VALUE(TRIM(SUBSTITUTE(SUBSTITUTE('01_Corrupted_General_Ledger'!F53, "$", ""), " ", ""))), 0)</f>
        <v>0</v>
      </c>
      <c r="G53" s="2">
        <f t="shared" si="0"/>
        <v>0</v>
      </c>
      <c r="H53" s="2" t="str">
        <f>IF(OR(ISERROR('01_Corrupted_General_Ledger'!G53), '01_Corrupted_General_Ledger'!D53="VEND-999"), "REPAIRED", "VERIFIED CLEAN")</f>
        <v>REPAIRED</v>
      </c>
    </row>
    <row r="54" spans="1:8" x14ac:dyDescent="0.4">
      <c r="A54" s="2" t="str">
        <f>'01_Corrupted_General_Ledger'!A54</f>
        <v>TXN-1053</v>
      </c>
      <c r="B54" s="3">
        <f>'01_Corrupted_General_Ledger'!B54</f>
        <v>46049</v>
      </c>
      <c r="C54" s="2" t="str">
        <f>'01_Corrupted_General_Ledger'!C54</f>
        <v>6001-OPEX</v>
      </c>
      <c r="D54" s="2" t="str">
        <f>IF(OR('01_Corrupted_General_Ledger'!D54="VEND-999", '01_Corrupted_General_Ledger'!D54="#N/A", ISBLANK('01_Corrupted_General_Ledger'!D54)), "VEND-DEFAULT", '01_Corrupted_General_Ledger'!D54)</f>
        <v>VEND-853</v>
      </c>
      <c r="E54" s="2">
        <f>IFERROR(VALUE(TRIM('01_Corrupted_General_Ledger'!E54)), 1)</f>
        <v>0</v>
      </c>
      <c r="F54" s="2">
        <f>IFERROR(VALUE(TRIM(SUBSTITUTE(SUBSTITUTE('01_Corrupted_General_Ledger'!F54, "$", ""), " ", ""))), 0)</f>
        <v>110</v>
      </c>
      <c r="G54" s="2">
        <f t="shared" si="0"/>
        <v>0</v>
      </c>
      <c r="H54" s="2" t="str">
        <f>IF(OR(ISERROR('01_Corrupted_General_Ledger'!G54), '01_Corrupted_General_Ledger'!D54="VEND-999"), "REPAIRED", "VERIFIED CLEAN")</f>
        <v>REPAIRED</v>
      </c>
    </row>
    <row r="55" spans="1:8" x14ac:dyDescent="0.4">
      <c r="A55" s="2" t="str">
        <f>'01_Corrupted_General_Ledger'!A55</f>
        <v>TXN-1054</v>
      </c>
      <c r="B55" s="3">
        <f>'01_Corrupted_General_Ledger'!B55</f>
        <v>46049</v>
      </c>
      <c r="C55" s="2" t="str">
        <f>'01_Corrupted_General_Ledger'!C55</f>
        <v>6003-SUPPLY</v>
      </c>
      <c r="D55" s="2" t="str">
        <f>IF(OR('01_Corrupted_General_Ledger'!D55="VEND-999", '01_Corrupted_General_Ledger'!D55="#N/A", ISBLANK('01_Corrupted_General_Ledger'!D55)), "VEND-DEFAULT", '01_Corrupted_General_Ledger'!D55)</f>
        <v>VEND-854</v>
      </c>
      <c r="E55" s="2">
        <f>IFERROR(VALUE(TRIM('01_Corrupted_General_Ledger'!E55)), 1)</f>
        <v>190</v>
      </c>
      <c r="F55" s="2">
        <f>IFERROR(VALUE(TRIM(SUBSTITUTE(SUBSTITUTE('01_Corrupted_General_Ledger'!F55, "$", ""), " ", ""))), 0)</f>
        <v>16</v>
      </c>
      <c r="G55" s="2">
        <f t="shared" si="0"/>
        <v>3040</v>
      </c>
      <c r="H55" s="2" t="str">
        <f>IF(OR(ISERROR('01_Corrupted_General_Ledger'!G55), '01_Corrupted_General_Ledger'!D55="VEND-999"), "REPAIRED", "VERIFIED CLEAN")</f>
        <v>VERIFIED CLEAN</v>
      </c>
    </row>
    <row r="56" spans="1:8" x14ac:dyDescent="0.4">
      <c r="A56" s="2" t="str">
        <f>'01_Corrupted_General_Ledger'!A56</f>
        <v>TXN-1055</v>
      </c>
      <c r="B56" s="3">
        <f>'01_Corrupted_General_Ledger'!B56</f>
        <v>46050</v>
      </c>
      <c r="C56" s="2" t="str">
        <f>'01_Corrupted_General_Ledger'!C56</f>
        <v>6001-OPEX</v>
      </c>
      <c r="D56" s="2" t="str">
        <f>IF(OR('01_Corrupted_General_Ledger'!D56="VEND-999", '01_Corrupted_General_Ledger'!D56="#N/A", ISBLANK('01_Corrupted_General_Ledger'!D56)), "VEND-DEFAULT", '01_Corrupted_General_Ledger'!D56)</f>
        <v>VEND-855</v>
      </c>
      <c r="E56" s="2">
        <f>IFERROR(VALUE(TRIM('01_Corrupted_General_Ledger'!E56)), 1)</f>
        <v>60</v>
      </c>
      <c r="F56" s="2">
        <f>IFERROR(VALUE(TRIM(SUBSTITUTE(SUBSTITUTE('01_Corrupted_General_Ledger'!F56, "$", ""), " ", ""))), 0)</f>
        <v>320</v>
      </c>
      <c r="G56" s="2">
        <f t="shared" si="0"/>
        <v>19200</v>
      </c>
      <c r="H56" s="2" t="str">
        <f>IF(OR(ISERROR('01_Corrupted_General_Ledger'!G56), '01_Corrupted_General_Ledger'!D56="VEND-999"), "REPAIRED", "VERIFIED CLEAN")</f>
        <v>VERIFIED CLEAN</v>
      </c>
    </row>
    <row r="57" spans="1:8" x14ac:dyDescent="0.4">
      <c r="A57" s="2" t="str">
        <f>'01_Corrupted_General_Ledger'!A57</f>
        <v>TXN-1056</v>
      </c>
      <c r="B57" s="3">
        <f>'01_Corrupted_General_Ledger'!B57</f>
        <v>46050</v>
      </c>
      <c r="C57" s="2" t="str">
        <f>'01_Corrupted_General_Ledger'!C57</f>
        <v>6004-TRAVEL</v>
      </c>
      <c r="D57" s="2" t="str">
        <f>IF(OR('01_Corrupted_General_Ledger'!D57="VEND-999", '01_Corrupted_General_Ledger'!D57="#N/A", ISBLANK('01_Corrupted_General_Ledger'!D57)), "VEND-DEFAULT", '01_Corrupted_General_Ledger'!D57)</f>
        <v>VEND-856</v>
      </c>
      <c r="E57" s="2">
        <f>IFERROR(VALUE(TRIM('01_Corrupted_General_Ledger'!E57)), 1)</f>
        <v>1</v>
      </c>
      <c r="F57" s="2">
        <f>IFERROR(VALUE(TRIM(SUBSTITUTE(SUBSTITUTE('01_Corrupted_General_Ledger'!F57, "$", ""), " ", ""))), 0)</f>
        <v>70</v>
      </c>
      <c r="G57" s="2">
        <f t="shared" si="0"/>
        <v>70</v>
      </c>
      <c r="H57" s="2" t="str">
        <f>IF(OR(ISERROR('01_Corrupted_General_Ledger'!G57), '01_Corrupted_General_Ledger'!D57="VEND-999"), "REPAIRED", "VERIFIED CLEAN")</f>
        <v>REPAIRED</v>
      </c>
    </row>
    <row r="58" spans="1:8" x14ac:dyDescent="0.4">
      <c r="A58" s="2" t="str">
        <f>'01_Corrupted_General_Ledger'!A58</f>
        <v>TXN-1057</v>
      </c>
      <c r="B58" s="3">
        <f>'01_Corrupted_General_Ledger'!B58</f>
        <v>46051</v>
      </c>
      <c r="C58" s="2" t="str">
        <f>'01_Corrupted_General_Ledger'!C58</f>
        <v>6002-CAPEX</v>
      </c>
      <c r="D58" s="2" t="str">
        <f>IF(OR('01_Corrupted_General_Ledger'!D58="VEND-999", '01_Corrupted_General_Ledger'!D58="#N/A", ISBLANK('01_Corrupted_General_Ledger'!D58)), "VEND-DEFAULT", '01_Corrupted_General_Ledger'!D58)</f>
        <v>VEND-857</v>
      </c>
      <c r="E58" s="2">
        <f>IFERROR(VALUE(TRIM('01_Corrupted_General_Ledger'!E58)), 1)</f>
        <v>100</v>
      </c>
      <c r="F58" s="2">
        <f>IFERROR(VALUE(TRIM(SUBSTITUTE(SUBSTITUTE('01_Corrupted_General_Ledger'!F58, "$", ""), " ", ""))), 0)</f>
        <v>85</v>
      </c>
      <c r="G58" s="2">
        <f t="shared" si="0"/>
        <v>8500</v>
      </c>
      <c r="H58" s="2" t="str">
        <f>IF(OR(ISERROR('01_Corrupted_General_Ledger'!G58), '01_Corrupted_General_Ledger'!D58="VEND-999"), "REPAIRED", "VERIFIED CLEAN")</f>
        <v>VERIFIED CLEAN</v>
      </c>
    </row>
    <row r="59" spans="1:8" x14ac:dyDescent="0.4">
      <c r="A59" s="2" t="str">
        <f>'01_Corrupted_General_Ledger'!A59</f>
        <v>TXN-1058</v>
      </c>
      <c r="B59" s="3">
        <f>'01_Corrupted_General_Ledger'!B59</f>
        <v>46051</v>
      </c>
      <c r="C59" s="2" t="str">
        <f>'01_Corrupted_General_Ledger'!C59</f>
        <v>6003-SUPPLY</v>
      </c>
      <c r="D59" s="2" t="str">
        <f>IF(OR('01_Corrupted_General_Ledger'!D59="VEND-999", '01_Corrupted_General_Ledger'!D59="#N/A", ISBLANK('01_Corrupted_General_Ledger'!D59)), "VEND-DEFAULT", '01_Corrupted_General_Ledger'!D59)</f>
        <v>VEND-858</v>
      </c>
      <c r="E59" s="2">
        <f>IFERROR(VALUE(TRIM('01_Corrupted_General_Ledger'!E59)), 1)</f>
        <v>260</v>
      </c>
      <c r="F59" s="2">
        <f>IFERROR(VALUE(TRIM(SUBSTITUTE(SUBSTITUTE('01_Corrupted_General_Ledger'!F59, "$", ""), " ", ""))), 0)</f>
        <v>0</v>
      </c>
      <c r="G59" s="2">
        <f t="shared" si="0"/>
        <v>0</v>
      </c>
      <c r="H59" s="2" t="str">
        <f>IF(OR(ISERROR('01_Corrupted_General_Ledger'!G59), '01_Corrupted_General_Ledger'!D59="VEND-999"), "REPAIRED", "VERIFIED CLEAN")</f>
        <v>REPAIRED</v>
      </c>
    </row>
    <row r="60" spans="1:8" x14ac:dyDescent="0.4">
      <c r="A60" s="2" t="str">
        <f>'01_Corrupted_General_Ledger'!A60</f>
        <v>TXN-1059</v>
      </c>
      <c r="B60" s="3">
        <f>'01_Corrupted_General_Ledger'!B60</f>
        <v>46052</v>
      </c>
      <c r="C60" s="2" t="str">
        <f>'01_Corrupted_General_Ledger'!C60</f>
        <v>6001-OPEX</v>
      </c>
      <c r="D60" s="2" t="str">
        <f>IF(OR('01_Corrupted_General_Ledger'!D60="VEND-999", '01_Corrupted_General_Ledger'!D60="#N/A", ISBLANK('01_Corrupted_General_Ledger'!D60)), "VEND-DEFAULT", '01_Corrupted_General_Ledger'!D60)</f>
        <v>VEND-DEFAULT</v>
      </c>
      <c r="E60" s="2">
        <f>IFERROR(VALUE(TRIM('01_Corrupted_General_Ledger'!E60)), 1)</f>
        <v>40</v>
      </c>
      <c r="F60" s="2">
        <f>IFERROR(VALUE(TRIM(SUBSTITUTE(SUBSTITUTE('01_Corrupted_General_Ledger'!F60, "$", ""), " ", ""))), 0)</f>
        <v>0</v>
      </c>
      <c r="G60" s="2">
        <f t="shared" si="0"/>
        <v>0</v>
      </c>
      <c r="H60" s="2" t="str">
        <f>IF(OR(ISERROR('01_Corrupted_General_Ledger'!G60), '01_Corrupted_General_Ledger'!D60="VEND-999"), "REPAIRED", "VERIFIED CLEAN")</f>
        <v>REPAIRED</v>
      </c>
    </row>
    <row r="61" spans="1:8" x14ac:dyDescent="0.4">
      <c r="A61" s="2" t="str">
        <f>'01_Corrupted_General_Ledger'!A61</f>
        <v>TXN-1060</v>
      </c>
      <c r="B61" s="3">
        <f>'01_Corrupted_General_Ledger'!B61</f>
        <v>46052</v>
      </c>
      <c r="C61" s="2" t="str">
        <f>'01_Corrupted_General_Ledger'!C61</f>
        <v>6004-TRAVEL</v>
      </c>
      <c r="D61" s="2" t="str">
        <f>IF(OR('01_Corrupted_General_Ledger'!D61="VEND-999", '01_Corrupted_General_Ledger'!D61="#N/A", ISBLANK('01_Corrupted_General_Ledger'!D61)), "VEND-DEFAULT", '01_Corrupted_General_Ledger'!D61)</f>
        <v>VEND-860</v>
      </c>
      <c r="E61" s="2">
        <f>IFERROR(VALUE(TRIM('01_Corrupted_General_Ledger'!E61)), 1)</f>
        <v>420</v>
      </c>
      <c r="F61" s="2">
        <f>IFERROR(VALUE(TRIM(SUBSTITUTE(SUBSTITUTE('01_Corrupted_General_Ledger'!F61, "$", ""), " ", ""))), 0)</f>
        <v>11.5</v>
      </c>
      <c r="G61" s="2">
        <f t="shared" si="0"/>
        <v>4830</v>
      </c>
      <c r="H61" s="2" t="str">
        <f>IF(OR(ISERROR('01_Corrupted_General_Ledger'!G61), '01_Corrupted_General_Ledger'!D61="VEND-999"), "REPAIRED", "VERIFIED CLEAN")</f>
        <v>VERIFIED CLEAN</v>
      </c>
    </row>
    <row r="62" spans="1:8" x14ac:dyDescent="0.4">
      <c r="A62" s="2" t="str">
        <f>'01_Corrupted_General_Ledger'!A62</f>
        <v>TXN-1061</v>
      </c>
      <c r="B62" s="3">
        <f>'01_Corrupted_General_Ledger'!B62</f>
        <v>46053</v>
      </c>
      <c r="C62" s="2" t="str">
        <f>'01_Corrupted_General_Ledger'!C62</f>
        <v>6002-CAPEX</v>
      </c>
      <c r="D62" s="2" t="str">
        <f>IF(OR('01_Corrupted_General_Ledger'!D62="VEND-999", '01_Corrupted_General_Ledger'!D62="#N/A", ISBLANK('01_Corrupted_General_Ledger'!D62)), "VEND-DEFAULT", '01_Corrupted_General_Ledger'!D62)</f>
        <v>VEND-861</v>
      </c>
      <c r="E62" s="2">
        <f>IFERROR(VALUE(TRIM('01_Corrupted_General_Ledger'!E62)), 1)</f>
        <v>150</v>
      </c>
      <c r="F62" s="2">
        <f>IFERROR(VALUE(TRIM(SUBSTITUTE(SUBSTITUTE('01_Corrupted_General_Ledger'!F62, "$", ""), " ", ""))), 0)</f>
        <v>95</v>
      </c>
      <c r="G62" s="2">
        <f t="shared" si="0"/>
        <v>14250</v>
      </c>
      <c r="H62" s="2" t="str">
        <f>IF(OR(ISERROR('01_Corrupted_General_Ledger'!G62), '01_Corrupted_General_Ledger'!D62="VEND-999"), "REPAIRED", "VERIFIED CLEAN")</f>
        <v>VERIFIED CLEAN</v>
      </c>
    </row>
    <row r="63" spans="1:8" x14ac:dyDescent="0.4">
      <c r="A63" s="2" t="str">
        <f>'01_Corrupted_General_Ledger'!A63</f>
        <v>TXN-1062</v>
      </c>
      <c r="B63" s="3">
        <f>'01_Corrupted_General_Ledger'!B63</f>
        <v>46053</v>
      </c>
      <c r="C63" s="2" t="str">
        <f>'01_Corrupted_General_Ledger'!C63</f>
        <v>6001-OPEX</v>
      </c>
      <c r="D63" s="2" t="str">
        <f>IF(OR('01_Corrupted_General_Ledger'!D63="VEND-999", '01_Corrupted_General_Ledger'!D63="#N/A", ISBLANK('01_Corrupted_General_Ledger'!D63)), "VEND-DEFAULT", '01_Corrupted_General_Ledger'!D63)</f>
        <v>VEND-862</v>
      </c>
      <c r="E63" s="2">
        <f>IFERROR(VALUE(TRIM('01_Corrupted_General_Ledger'!E63)), 1)</f>
        <v>0</v>
      </c>
      <c r="F63" s="2">
        <f>IFERROR(VALUE(TRIM(SUBSTITUTE(SUBSTITUTE('01_Corrupted_General_Ledger'!F63, "$", ""), " ", ""))), 0)</f>
        <v>200</v>
      </c>
      <c r="G63" s="2">
        <f t="shared" si="0"/>
        <v>0</v>
      </c>
      <c r="H63" s="2" t="str">
        <f>IF(OR(ISERROR('01_Corrupted_General_Ledger'!G63), '01_Corrupted_General_Ledger'!D63="VEND-999"), "REPAIRED", "VERIFIED CLEAN")</f>
        <v>REPAIRED</v>
      </c>
    </row>
    <row r="64" spans="1:8" x14ac:dyDescent="0.4">
      <c r="A64" s="2" t="str">
        <f>'01_Corrupted_General_Ledger'!A64</f>
        <v>TXN-1063</v>
      </c>
      <c r="B64" s="3">
        <f>'01_Corrupted_General_Ledger'!B64</f>
        <v>46054</v>
      </c>
      <c r="C64" s="2" t="str">
        <f>'01_Corrupted_General_Ledger'!C64</f>
        <v>6003-SUPPLY</v>
      </c>
      <c r="D64" s="2" t="str">
        <f>IF(OR('01_Corrupted_General_Ledger'!D64="VEND-999", '01_Corrupted_General_Ledger'!D64="#N/A", ISBLANK('01_Corrupted_General_Ledger'!D64)), "VEND-DEFAULT", '01_Corrupted_General_Ledger'!D64)</f>
        <v>VEND-863</v>
      </c>
      <c r="E64" s="2">
        <f>IFERROR(VALUE(TRIM('01_Corrupted_General_Ledger'!E64)), 1)</f>
        <v>80</v>
      </c>
      <c r="F64" s="2">
        <f>IFERROR(VALUE(TRIM(SUBSTITUTE(SUBSTITUTE('01_Corrupted_General_Ledger'!F64, "$", ""), " ", ""))), 0)</f>
        <v>135</v>
      </c>
      <c r="G64" s="2">
        <f t="shared" si="0"/>
        <v>10800</v>
      </c>
      <c r="H64" s="2" t="str">
        <f>IF(OR(ISERROR('01_Corrupted_General_Ledger'!G64), '01_Corrupted_General_Ledger'!D64="VEND-999"), "REPAIRED", "VERIFIED CLEAN")</f>
        <v>VERIFIED CLEAN</v>
      </c>
    </row>
    <row r="65" spans="1:8" x14ac:dyDescent="0.4">
      <c r="A65" s="2" t="str">
        <f>'01_Corrupted_General_Ledger'!A65</f>
        <v>TXN-1064</v>
      </c>
      <c r="B65" s="3">
        <f>'01_Corrupted_General_Ledger'!B65</f>
        <v>46054</v>
      </c>
      <c r="C65" s="2" t="str">
        <f>'01_Corrupted_General_Ledger'!C65</f>
        <v>6001-OPEX</v>
      </c>
      <c r="D65" s="2" t="str">
        <f>IF(OR('01_Corrupted_General_Ledger'!D65="VEND-999", '01_Corrupted_General_Ledger'!D65="#N/A", ISBLANK('01_Corrupted_General_Ledger'!D65)), "VEND-DEFAULT", '01_Corrupted_General_Ledger'!D65)</f>
        <v>VEND-864</v>
      </c>
      <c r="E65" s="2">
        <f>IFERROR(VALUE(TRIM('01_Corrupted_General_Ledger'!E65)), 1)</f>
        <v>210</v>
      </c>
      <c r="F65" s="2">
        <f>IFERROR(VALUE(TRIM(SUBSTITUTE(SUBSTITUTE('01_Corrupted_General_Ledger'!F65, "$", ""), " ", ""))), 0)</f>
        <v>32</v>
      </c>
      <c r="G65" s="2">
        <f t="shared" si="0"/>
        <v>6720</v>
      </c>
      <c r="H65" s="2" t="str">
        <f>IF(OR(ISERROR('01_Corrupted_General_Ledger'!G65), '01_Corrupted_General_Ledger'!D65="VEND-999"), "REPAIRED", "VERIFIED CLEAN")</f>
        <v>VERIFIED CLEAN</v>
      </c>
    </row>
    <row r="66" spans="1:8" x14ac:dyDescent="0.4">
      <c r="A66" s="2" t="str">
        <f>'01_Corrupted_General_Ledger'!A66</f>
        <v>TXN-1065</v>
      </c>
      <c r="B66" s="3">
        <f>'01_Corrupted_General_Ledger'!B66</f>
        <v>46055</v>
      </c>
      <c r="C66" s="2" t="str">
        <f>'01_Corrupted_General_Ledger'!C66</f>
        <v>6004-TRAVEL</v>
      </c>
      <c r="D66" s="2" t="str">
        <f>IF(OR('01_Corrupted_General_Ledger'!D66="VEND-999", '01_Corrupted_General_Ledger'!D66="#N/A", ISBLANK('01_Corrupted_General_Ledger'!D66)), "VEND-DEFAULT", '01_Corrupted_General_Ledger'!D66)</f>
        <v>VEND-DEFAULT</v>
      </c>
      <c r="E66" s="2">
        <f>IFERROR(VALUE(TRIM('01_Corrupted_General_Ledger'!E66)), 1)</f>
        <v>105</v>
      </c>
      <c r="F66" s="2">
        <f>IFERROR(VALUE(TRIM(SUBSTITUTE(SUBSTITUTE('01_Corrupted_General_Ledger'!F66, "$", ""), " ", ""))), 0)</f>
        <v>0</v>
      </c>
      <c r="G66" s="2">
        <f t="shared" si="0"/>
        <v>0</v>
      </c>
      <c r="H66" s="2" t="str">
        <f>IF(OR(ISERROR('01_Corrupted_General_Ledger'!G66), '01_Corrupted_General_Ledger'!D66="VEND-999"), "REPAIRED", "VERIFIED CLEAN")</f>
        <v>REPAIRED</v>
      </c>
    </row>
    <row r="67" spans="1:8" x14ac:dyDescent="0.4">
      <c r="A67" s="2" t="str">
        <f>'01_Corrupted_General_Ledger'!A67</f>
        <v>TXN-1066</v>
      </c>
      <c r="B67" s="3">
        <f>'01_Corrupted_General_Ledger'!B67</f>
        <v>46055</v>
      </c>
      <c r="C67" s="2" t="str">
        <f>'01_Corrupted_General_Ledger'!C67</f>
        <v>6002-CAPEX</v>
      </c>
      <c r="D67" s="2" t="str">
        <f>IF(OR('01_Corrupted_General_Ledger'!D67="VEND-999", '01_Corrupted_General_Ledger'!D67="#N/A", ISBLANK('01_Corrupted_General_Ledger'!D67)), "VEND-DEFAULT", '01_Corrupted_General_Ledger'!D67)</f>
        <v>VEND-866</v>
      </c>
      <c r="E67" s="2">
        <f>IFERROR(VALUE(TRIM('01_Corrupted_General_Ledger'!E67)), 1)</f>
        <v>1</v>
      </c>
      <c r="F67" s="2">
        <f>IFERROR(VALUE(TRIM(SUBSTITUTE(SUBSTITUTE('01_Corrupted_General_Ledger'!F67, "$", ""), " ", ""))), 0)</f>
        <v>65</v>
      </c>
      <c r="G67" s="2">
        <f t="shared" ref="G67:G101" si="1">E67*F67</f>
        <v>65</v>
      </c>
      <c r="H67" s="2" t="str">
        <f>IF(OR(ISERROR('01_Corrupted_General_Ledger'!G67), '01_Corrupted_General_Ledger'!D67="VEND-999"), "REPAIRED", "VERIFIED CLEAN")</f>
        <v>REPAIRED</v>
      </c>
    </row>
    <row r="68" spans="1:8" x14ac:dyDescent="0.4">
      <c r="A68" s="2" t="str">
        <f>'01_Corrupted_General_Ledger'!A68</f>
        <v>TXN-1067</v>
      </c>
      <c r="B68" s="3">
        <f>'01_Corrupted_General_Ledger'!B68</f>
        <v>46056</v>
      </c>
      <c r="C68" s="2" t="str">
        <f>'01_Corrupted_General_Ledger'!C68</f>
        <v>6003-SUPPLY</v>
      </c>
      <c r="D68" s="2" t="str">
        <f>IF(OR('01_Corrupted_General_Ledger'!D68="VEND-999", '01_Corrupted_General_Ledger'!D68="#N/A", ISBLANK('01_Corrupted_General_Ledger'!D68)), "VEND-DEFAULT", '01_Corrupted_General_Ledger'!D68)</f>
        <v>VEND-867</v>
      </c>
      <c r="E68" s="2">
        <f>IFERROR(VALUE(TRIM('01_Corrupted_General_Ledger'!E68)), 1)</f>
        <v>390</v>
      </c>
      <c r="F68" s="2">
        <f>IFERROR(VALUE(TRIM(SUBSTITUTE(SUBSTITUTE('01_Corrupted_General_Ledger'!F68, "$", ""), " ", ""))), 0)</f>
        <v>19</v>
      </c>
      <c r="G68" s="2">
        <f t="shared" si="1"/>
        <v>7410</v>
      </c>
      <c r="H68" s="2" t="str">
        <f>IF(OR(ISERROR('01_Corrupted_General_Ledger'!G68), '01_Corrupted_General_Ledger'!D68="VEND-999"), "REPAIRED", "VERIFIED CLEAN")</f>
        <v>VERIFIED CLEAN</v>
      </c>
    </row>
    <row r="69" spans="1:8" x14ac:dyDescent="0.4">
      <c r="A69" s="2" t="str">
        <f>'01_Corrupted_General_Ledger'!A69</f>
        <v>TXN-1068</v>
      </c>
      <c r="B69" s="3">
        <f>'01_Corrupted_General_Ledger'!B69</f>
        <v>46056</v>
      </c>
      <c r="C69" s="2" t="str">
        <f>'01_Corrupted_General_Ledger'!C69</f>
        <v>6001-OPEX</v>
      </c>
      <c r="D69" s="2" t="str">
        <f>IF(OR('01_Corrupted_General_Ledger'!D69="VEND-999", '01_Corrupted_General_Ledger'!D69="#N/A", ISBLANK('01_Corrupted_General_Ledger'!D69)), "VEND-DEFAULT", '01_Corrupted_General_Ledger'!D69)</f>
        <v>VEND-868</v>
      </c>
      <c r="E69" s="2">
        <f>IFERROR(VALUE(TRIM('01_Corrupted_General_Ledger'!E69)), 1)</f>
        <v>50</v>
      </c>
      <c r="F69" s="2">
        <f>IFERROR(VALUE(TRIM(SUBSTITUTE(SUBSTITUTE('01_Corrupted_General_Ledger'!F69, "$", ""), " ", ""))), 0)</f>
        <v>420</v>
      </c>
      <c r="G69" s="2">
        <f t="shared" si="1"/>
        <v>21000</v>
      </c>
      <c r="H69" s="2" t="str">
        <f>IF(OR(ISERROR('01_Corrupted_General_Ledger'!G69), '01_Corrupted_General_Ledger'!D69="VEND-999"), "REPAIRED", "VERIFIED CLEAN")</f>
        <v>VERIFIED CLEAN</v>
      </c>
    </row>
    <row r="70" spans="1:8" x14ac:dyDescent="0.4">
      <c r="A70" s="2" t="str">
        <f>'01_Corrupted_General_Ledger'!A70</f>
        <v>TXN-1069</v>
      </c>
      <c r="B70" s="3">
        <f>'01_Corrupted_General_Ledger'!B70</f>
        <v>46057</v>
      </c>
      <c r="C70" s="2" t="str">
        <f>'01_Corrupted_General_Ledger'!C70</f>
        <v>6004-TRAVEL</v>
      </c>
      <c r="D70" s="2" t="str">
        <f>IF(OR('01_Corrupted_General_Ledger'!D70="VEND-999", '01_Corrupted_General_Ledger'!D70="#N/A", ISBLANK('01_Corrupted_General_Ledger'!D70)), "VEND-DEFAULT", '01_Corrupted_General_Ledger'!D70)</f>
        <v>VEND-869</v>
      </c>
      <c r="E70" s="2">
        <f>IFERROR(VALUE(TRIM('01_Corrupted_General_Ledger'!E70)), 1)</f>
        <v>0</v>
      </c>
      <c r="F70" s="2">
        <f>IFERROR(VALUE(TRIM(SUBSTITUTE(SUBSTITUTE('01_Corrupted_General_Ledger'!F70, "$", ""), " ", ""))), 0)</f>
        <v>165</v>
      </c>
      <c r="G70" s="2">
        <f t="shared" si="1"/>
        <v>0</v>
      </c>
      <c r="H70" s="2" t="str">
        <f>IF(OR(ISERROR('01_Corrupted_General_Ledger'!G70), '01_Corrupted_General_Ledger'!D70="VEND-999"), "REPAIRED", "VERIFIED CLEAN")</f>
        <v>REPAIRED</v>
      </c>
    </row>
    <row r="71" spans="1:8" x14ac:dyDescent="0.4">
      <c r="A71" s="2" t="str">
        <f>'01_Corrupted_General_Ledger'!A71</f>
        <v>TXN-1070</v>
      </c>
      <c r="B71" s="3">
        <f>'01_Corrupted_General_Ledger'!B71</f>
        <v>46057</v>
      </c>
      <c r="C71" s="2" t="str">
        <f>'01_Corrupted_General_Ledger'!C71</f>
        <v>6002-CAPEX</v>
      </c>
      <c r="D71" s="2" t="str">
        <f>IF(OR('01_Corrupted_General_Ledger'!D71="VEND-999", '01_Corrupted_General_Ledger'!D71="#N/A", ISBLANK('01_Corrupted_General_Ledger'!D71)), "VEND-DEFAULT", '01_Corrupted_General_Ledger'!D71)</f>
        <v>VEND-870</v>
      </c>
      <c r="E71" s="2">
        <f>IFERROR(VALUE(TRIM('01_Corrupted_General_Ledger'!E71)), 1)</f>
        <v>115</v>
      </c>
      <c r="F71" s="2">
        <f>IFERROR(VALUE(TRIM(SUBSTITUTE(SUBSTITUTE('01_Corrupted_General_Ledger'!F71, "$", ""), " ", ""))), 0)</f>
        <v>58</v>
      </c>
      <c r="G71" s="2">
        <f t="shared" si="1"/>
        <v>6670</v>
      </c>
      <c r="H71" s="2" t="str">
        <f>IF(OR(ISERROR('01_Corrupted_General_Ledger'!G71), '01_Corrupted_General_Ledger'!D71="VEND-999"), "REPAIRED", "VERIFIED CLEAN")</f>
        <v>VERIFIED CLEAN</v>
      </c>
    </row>
    <row r="72" spans="1:8" x14ac:dyDescent="0.4">
      <c r="A72" s="2" t="str">
        <f>'01_Corrupted_General_Ledger'!A72</f>
        <v>TXN-1071</v>
      </c>
      <c r="B72" s="3">
        <f>'01_Corrupted_General_Ledger'!B72</f>
        <v>46058</v>
      </c>
      <c r="C72" s="2" t="str">
        <f>'01_Corrupted_General_Ledger'!C72</f>
        <v>6003-SUPPLY</v>
      </c>
      <c r="D72" s="2" t="str">
        <f>IF(OR('01_Corrupted_General_Ledger'!D72="VEND-999", '01_Corrupted_General_Ledger'!D72="#N/A", ISBLANK('01_Corrupted_General_Ledger'!D72)), "VEND-DEFAULT", '01_Corrupted_General_Ledger'!D72)</f>
        <v>VEND-871</v>
      </c>
      <c r="E72" s="2">
        <f>IFERROR(VALUE(TRIM('01_Corrupted_General_Ledger'!E72)), 1)</f>
        <v>230</v>
      </c>
      <c r="F72" s="2">
        <f>IFERROR(VALUE(TRIM(SUBSTITUTE(SUBSTITUTE('01_Corrupted_General_Ledger'!F72, "$", ""), " ", ""))), 0)</f>
        <v>26</v>
      </c>
      <c r="G72" s="2">
        <f t="shared" si="1"/>
        <v>5980</v>
      </c>
      <c r="H72" s="2" t="str">
        <f>IF(OR(ISERROR('01_Corrupted_General_Ledger'!G72), '01_Corrupted_General_Ledger'!D72="VEND-999"), "REPAIRED", "VERIFIED CLEAN")</f>
        <v>VERIFIED CLEAN</v>
      </c>
    </row>
    <row r="73" spans="1:8" x14ac:dyDescent="0.4">
      <c r="A73" s="2" t="str">
        <f>'01_Corrupted_General_Ledger'!A73</f>
        <v>TXN-1072</v>
      </c>
      <c r="B73" s="3">
        <f>'01_Corrupted_General_Ledger'!B73</f>
        <v>46058</v>
      </c>
      <c r="C73" s="2" t="str">
        <f>'01_Corrupted_General_Ledger'!C73</f>
        <v>6001-OPEX</v>
      </c>
      <c r="D73" s="2" t="str">
        <f>IF(OR('01_Corrupted_General_Ledger'!D73="VEND-999", '01_Corrupted_General_Ledger'!D73="#N/A", ISBLANK('01_Corrupted_General_Ledger'!D73)), "VEND-DEFAULT", '01_Corrupted_General_Ledger'!D73)</f>
        <v>VEND-DEFAULT</v>
      </c>
      <c r="E73" s="2">
        <f>IFERROR(VALUE(TRIM('01_Corrupted_General_Ledger'!E73)), 1)</f>
        <v>85</v>
      </c>
      <c r="F73" s="2">
        <f>IFERROR(VALUE(TRIM(SUBSTITUTE(SUBSTITUTE('01_Corrupted_General_Ledger'!F73, "$", ""), " ", ""))), 0)</f>
        <v>0</v>
      </c>
      <c r="G73" s="2">
        <f t="shared" si="1"/>
        <v>0</v>
      </c>
      <c r="H73" s="2" t="str">
        <f>IF(OR(ISERROR('01_Corrupted_General_Ledger'!G73), '01_Corrupted_General_Ledger'!D73="VEND-999"), "REPAIRED", "VERIFIED CLEAN")</f>
        <v>REPAIRED</v>
      </c>
    </row>
    <row r="74" spans="1:8" x14ac:dyDescent="0.4">
      <c r="A74" s="2" t="str">
        <f>'01_Corrupted_General_Ledger'!A74</f>
        <v>TXN-1073</v>
      </c>
      <c r="B74" s="3">
        <f>'01_Corrupted_General_Ledger'!B74</f>
        <v>46059</v>
      </c>
      <c r="C74" s="2" t="str">
        <f>'01_Corrupted_General_Ledger'!C74</f>
        <v>6004-TRAVEL</v>
      </c>
      <c r="D74" s="2" t="str">
        <f>IF(OR('01_Corrupted_General_Ledger'!D74="VEND-999", '01_Corrupted_General_Ledger'!D74="#N/A", ISBLANK('01_Corrupted_General_Ledger'!D74)), "VEND-DEFAULT", '01_Corrupted_General_Ledger'!D74)</f>
        <v>VEND-873</v>
      </c>
      <c r="E74" s="2">
        <f>IFERROR(VALUE(TRIM('01_Corrupted_General_Ledger'!E74)), 1)</f>
        <v>290</v>
      </c>
      <c r="F74" s="2">
        <f>IFERROR(VALUE(TRIM(SUBSTITUTE(SUBSTITUTE('01_Corrupted_General_Ledger'!F74, "$", ""), " ", ""))), 0)</f>
        <v>44</v>
      </c>
      <c r="G74" s="2">
        <f t="shared" si="1"/>
        <v>12760</v>
      </c>
      <c r="H74" s="2" t="str">
        <f>IF(OR(ISERROR('01_Corrupted_General_Ledger'!G74), '01_Corrupted_General_Ledger'!D74="VEND-999"), "REPAIRED", "VERIFIED CLEAN")</f>
        <v>VERIFIED CLEAN</v>
      </c>
    </row>
    <row r="75" spans="1:8" x14ac:dyDescent="0.4">
      <c r="A75" s="2" t="str">
        <f>'01_Corrupted_General_Ledger'!A75</f>
        <v>TXN-1074</v>
      </c>
      <c r="B75" s="3">
        <f>'01_Corrupted_General_Ledger'!B75</f>
        <v>46059</v>
      </c>
      <c r="C75" s="2" t="str">
        <f>'01_Corrupted_General_Ledger'!C75</f>
        <v>6002-CAPEX</v>
      </c>
      <c r="D75" s="2" t="str">
        <f>IF(OR('01_Corrupted_General_Ledger'!D75="VEND-999", '01_Corrupted_General_Ledger'!D75="#N/A", ISBLANK('01_Corrupted_General_Ledger'!D75)), "VEND-DEFAULT", '01_Corrupted_General_Ledger'!D75)</f>
        <v>VEND-874</v>
      </c>
      <c r="E75" s="2">
        <f>IFERROR(VALUE(TRIM('01_Corrupted_General_Ledger'!E75)), 1)</f>
        <v>1</v>
      </c>
      <c r="F75" s="2">
        <f>IFERROR(VALUE(TRIM(SUBSTITUTE(SUBSTITUTE('01_Corrupted_General_Ledger'!F75, "$", ""), " ", ""))), 0)</f>
        <v>110</v>
      </c>
      <c r="G75" s="2">
        <f t="shared" si="1"/>
        <v>110</v>
      </c>
      <c r="H75" s="2" t="str">
        <f>IF(OR(ISERROR('01_Corrupted_General_Ledger'!G75), '01_Corrupted_General_Ledger'!D75="VEND-999"), "REPAIRED", "VERIFIED CLEAN")</f>
        <v>REPAIRED</v>
      </c>
    </row>
    <row r="76" spans="1:8" x14ac:dyDescent="0.4">
      <c r="A76" s="2" t="str">
        <f>'01_Corrupted_General_Ledger'!A76</f>
        <v>TXN-1075</v>
      </c>
      <c r="B76" s="3">
        <f>'01_Corrupted_General_Ledger'!B76</f>
        <v>46060</v>
      </c>
      <c r="C76" s="2" t="str">
        <f>'01_Corrupted_General_Ledger'!C76</f>
        <v>6003-SUPPLY</v>
      </c>
      <c r="D76" s="2" t="str">
        <f>IF(OR('01_Corrupted_General_Ledger'!D76="VEND-999", '01_Corrupted_General_Ledger'!D76="#N/A", ISBLANK('01_Corrupted_General_Ledger'!D76)), "VEND-DEFAULT", '01_Corrupted_General_Ledger'!D76)</f>
        <v>VEND-875</v>
      </c>
      <c r="E76" s="2">
        <f>IFERROR(VALUE(TRIM('01_Corrupted_General_Ledger'!E76)), 1)</f>
        <v>160</v>
      </c>
      <c r="F76" s="2">
        <f>IFERROR(VALUE(TRIM(SUBSTITUTE(SUBSTITUTE('01_Corrupted_General_Ledger'!F76, "$", ""), " ", ""))), 0)</f>
        <v>82</v>
      </c>
      <c r="G76" s="2">
        <f t="shared" si="1"/>
        <v>13120</v>
      </c>
      <c r="H76" s="2" t="str">
        <f>IF(OR(ISERROR('01_Corrupted_General_Ledger'!G76), '01_Corrupted_General_Ledger'!D76="VEND-999"), "REPAIRED", "VERIFIED CLEAN")</f>
        <v>VERIFIED CLEAN</v>
      </c>
    </row>
    <row r="77" spans="1:8" x14ac:dyDescent="0.4">
      <c r="A77" s="2" t="str">
        <f>'01_Corrupted_General_Ledger'!A77</f>
        <v>TXN-1076</v>
      </c>
      <c r="B77" s="3">
        <f>'01_Corrupted_General_Ledger'!B77</f>
        <v>46060</v>
      </c>
      <c r="C77" s="2" t="str">
        <f>'01_Corrupted_General_Ledger'!C77</f>
        <v>6001-OPEX</v>
      </c>
      <c r="D77" s="2" t="str">
        <f>IF(OR('01_Corrupted_General_Ledger'!D77="VEND-999", '01_Corrupted_General_Ledger'!D77="#N/A", ISBLANK('01_Corrupted_General_Ledger'!D77)), "VEND-DEFAULT", '01_Corrupted_General_Ledger'!D77)</f>
        <v>VEND-876</v>
      </c>
      <c r="E77" s="2">
        <f>IFERROR(VALUE(TRIM('01_Corrupted_General_Ledger'!E77)), 1)</f>
        <v>125</v>
      </c>
      <c r="F77" s="2">
        <f>IFERROR(VALUE(TRIM(SUBSTITUTE(SUBSTITUTE('01_Corrupted_General_Ledger'!F77, "$", ""), " ", ""))), 0)</f>
        <v>52</v>
      </c>
      <c r="G77" s="2">
        <f t="shared" si="1"/>
        <v>6500</v>
      </c>
      <c r="H77" s="2" t="str">
        <f>IF(OR(ISERROR('01_Corrupted_General_Ledger'!G77), '01_Corrupted_General_Ledger'!D77="VEND-999"), "REPAIRED", "VERIFIED CLEAN")</f>
        <v>VERIFIED CLEAN</v>
      </c>
    </row>
    <row r="78" spans="1:8" x14ac:dyDescent="0.4">
      <c r="A78" s="2" t="str">
        <f>'01_Corrupted_General_Ledger'!A78</f>
        <v>TXN-1077</v>
      </c>
      <c r="B78" s="3">
        <f>'01_Corrupted_General_Ledger'!B78</f>
        <v>46061</v>
      </c>
      <c r="C78" s="2" t="str">
        <f>'01_Corrupted_General_Ledger'!C78</f>
        <v>6002-CAPEX</v>
      </c>
      <c r="D78" s="2" t="str">
        <f>IF(OR('01_Corrupted_General_Ledger'!D78="VEND-999", '01_Corrupted_General_Ledger'!D78="#N/A", ISBLANK('01_Corrupted_General_Ledger'!D78)), "VEND-DEFAULT", '01_Corrupted_General_Ledger'!D78)</f>
        <v>VEND-DEFAULT</v>
      </c>
      <c r="E78" s="2">
        <f>IFERROR(VALUE(TRIM('01_Corrupted_General_Ledger'!E78)), 1)</f>
        <v>70</v>
      </c>
      <c r="F78" s="2">
        <f>IFERROR(VALUE(TRIM(SUBSTITUTE(SUBSTITUTE('01_Corrupted_General_Ledger'!F78, "$", ""), " ", ""))), 0)</f>
        <v>0</v>
      </c>
      <c r="G78" s="2">
        <f t="shared" si="1"/>
        <v>0</v>
      </c>
      <c r="H78" s="2" t="str">
        <f>IF(OR(ISERROR('01_Corrupted_General_Ledger'!G78), '01_Corrupted_General_Ledger'!D78="VEND-999"), "REPAIRED", "VERIFIED CLEAN")</f>
        <v>REPAIRED</v>
      </c>
    </row>
    <row r="79" spans="1:8" x14ac:dyDescent="0.4">
      <c r="A79" s="2" t="str">
        <f>'01_Corrupted_General_Ledger'!A79</f>
        <v>TXN-1078</v>
      </c>
      <c r="B79" s="3">
        <f>'01_Corrupted_General_Ledger'!B79</f>
        <v>46061</v>
      </c>
      <c r="C79" s="2" t="str">
        <f>'01_Corrupted_General_Ledger'!C79</f>
        <v>6001-OPEX</v>
      </c>
      <c r="D79" s="2" t="str">
        <f>IF(OR('01_Corrupted_General_Ledger'!D79="VEND-999", '01_Corrupted_General_Ledger'!D79="#N/A", ISBLANK('01_Corrupted_General_Ledger'!D79)), "VEND-DEFAULT", '01_Corrupted_General_Ledger'!D79)</f>
        <v>VEND-878</v>
      </c>
      <c r="E79" s="2">
        <f>IFERROR(VALUE(TRIM('01_Corrupted_General_Ledger'!E79)), 1)</f>
        <v>0</v>
      </c>
      <c r="F79" s="2">
        <f>IFERROR(VALUE(TRIM(SUBSTITUTE(SUBSTITUTE('01_Corrupted_General_Ledger'!F79, "$", ""), " ", ""))), 0)</f>
        <v>130</v>
      </c>
      <c r="G79" s="2">
        <f t="shared" si="1"/>
        <v>0</v>
      </c>
      <c r="H79" s="2" t="str">
        <f>IF(OR(ISERROR('01_Corrupted_General_Ledger'!G79), '01_Corrupted_General_Ledger'!D79="VEND-999"), "REPAIRED", "VERIFIED CLEAN")</f>
        <v>REPAIRED</v>
      </c>
    </row>
    <row r="80" spans="1:8" x14ac:dyDescent="0.4">
      <c r="A80" s="2" t="str">
        <f>'01_Corrupted_General_Ledger'!A80</f>
        <v>TXN-1079</v>
      </c>
      <c r="B80" s="3">
        <f>'01_Corrupted_General_Ledger'!B80</f>
        <v>46062</v>
      </c>
      <c r="C80" s="2" t="str">
        <f>'01_Corrupted_General_Ledger'!C80</f>
        <v>6003-SUPPLY</v>
      </c>
      <c r="D80" s="2" t="str">
        <f>IF(OR('01_Corrupted_General_Ledger'!D80="VEND-999", '01_Corrupted_General_Ledger'!D80="#N/A", ISBLANK('01_Corrupted_General_Ledger'!D80)), "VEND-DEFAULT", '01_Corrupted_General_Ledger'!D80)</f>
        <v>VEND-879</v>
      </c>
      <c r="E80" s="2">
        <f>IFERROR(VALUE(TRIM('01_Corrupted_General_Ledger'!E80)), 1)</f>
        <v>200</v>
      </c>
      <c r="F80" s="2">
        <f>IFERROR(VALUE(TRIM(SUBSTITUTE(SUBSTITUTE('01_Corrupted_General_Ledger'!F80, "$", ""), " ", ""))), 0)</f>
        <v>17.5</v>
      </c>
      <c r="G80" s="2">
        <f t="shared" si="1"/>
        <v>3500</v>
      </c>
      <c r="H80" s="2" t="str">
        <f>IF(OR(ISERROR('01_Corrupted_General_Ledger'!G80), '01_Corrupted_General_Ledger'!D80="VEND-999"), "REPAIRED", "VERIFIED CLEAN")</f>
        <v>VERIFIED CLEAN</v>
      </c>
    </row>
    <row r="81" spans="1:8" x14ac:dyDescent="0.4">
      <c r="A81" s="2" t="str">
        <f>'01_Corrupted_General_Ledger'!A81</f>
        <v>TXN-1080</v>
      </c>
      <c r="B81" s="3">
        <f>'01_Corrupted_General_Ledger'!B81</f>
        <v>46062</v>
      </c>
      <c r="C81" s="2" t="str">
        <f>'01_Corrupted_General_Ledger'!C81</f>
        <v>6001-OPEX</v>
      </c>
      <c r="D81" s="2" t="str">
        <f>IF(OR('01_Corrupted_General_Ledger'!D81="VEND-999", '01_Corrupted_General_Ledger'!D81="#N/A", ISBLANK('01_Corrupted_General_Ledger'!D81)), "VEND-DEFAULT", '01_Corrupted_General_Ledger'!D81)</f>
        <v>VEND-880</v>
      </c>
      <c r="E81" s="2">
        <f>IFERROR(VALUE(TRIM('01_Corrupted_General_Ledger'!E81)), 1)</f>
        <v>50</v>
      </c>
      <c r="F81" s="2">
        <f>IFERROR(VALUE(TRIM(SUBSTITUTE(SUBSTITUTE('01_Corrupted_General_Ledger'!F81, "$", ""), " ", ""))), 0)</f>
        <v>300</v>
      </c>
      <c r="G81" s="2">
        <f t="shared" si="1"/>
        <v>15000</v>
      </c>
      <c r="H81" s="2" t="str">
        <f>IF(OR(ISERROR('01_Corrupted_General_Ledger'!G81), '01_Corrupted_General_Ledger'!D81="VEND-999"), "REPAIRED", "VERIFIED CLEAN")</f>
        <v>VERIFIED CLEAN</v>
      </c>
    </row>
    <row r="82" spans="1:8" x14ac:dyDescent="0.4">
      <c r="A82" s="2" t="str">
        <f>'01_Corrupted_General_Ledger'!A82</f>
        <v>TXN-1081</v>
      </c>
      <c r="B82" s="3">
        <f>'01_Corrupted_General_Ledger'!B82</f>
        <v>46063</v>
      </c>
      <c r="C82" s="2" t="str">
        <f>'01_Corrupted_General_Ledger'!C82</f>
        <v>6004-TRAVEL</v>
      </c>
      <c r="D82" s="2" t="str">
        <f>IF(OR('01_Corrupted_General_Ledger'!D82="VEND-999", '01_Corrupted_General_Ledger'!D82="#N/A", ISBLANK('01_Corrupted_General_Ledger'!D82)), "VEND-DEFAULT", '01_Corrupted_General_Ledger'!D82)</f>
        <v>VEND-881</v>
      </c>
      <c r="E82" s="2">
        <f>IFERROR(VALUE(TRIM('01_Corrupted_General_Ledger'!E82)), 1)</f>
        <v>1</v>
      </c>
      <c r="F82" s="2">
        <f>IFERROR(VALUE(TRIM(SUBSTITUTE(SUBSTITUTE('01_Corrupted_General_Ledger'!F82, "$", ""), " ", ""))), 0)</f>
        <v>75</v>
      </c>
      <c r="G82" s="2">
        <f t="shared" si="1"/>
        <v>75</v>
      </c>
      <c r="H82" s="2" t="str">
        <f>IF(OR(ISERROR('01_Corrupted_General_Ledger'!G82), '01_Corrupted_General_Ledger'!D82="VEND-999"), "REPAIRED", "VERIFIED CLEAN")</f>
        <v>REPAIRED</v>
      </c>
    </row>
    <row r="83" spans="1:8" x14ac:dyDescent="0.4">
      <c r="A83" s="2" t="str">
        <f>'01_Corrupted_General_Ledger'!A83</f>
        <v>TXN-1082</v>
      </c>
      <c r="B83" s="3">
        <f>'01_Corrupted_General_Ledger'!B83</f>
        <v>46063</v>
      </c>
      <c r="C83" s="2" t="str">
        <f>'01_Corrupted_General_Ledger'!C83</f>
        <v>6002-CAPEX</v>
      </c>
      <c r="D83" s="2" t="str">
        <f>IF(OR('01_Corrupted_General_Ledger'!D83="VEND-999", '01_Corrupted_General_Ledger'!D83="#N/A", ISBLANK('01_Corrupted_General_Ledger'!D83)), "VEND-DEFAULT", '01_Corrupted_General_Ledger'!D83)</f>
        <v>VEND-882</v>
      </c>
      <c r="E83" s="2">
        <f>IFERROR(VALUE(TRIM('01_Corrupted_General_Ledger'!E83)), 1)</f>
        <v>105</v>
      </c>
      <c r="F83" s="2">
        <f>IFERROR(VALUE(TRIM(SUBSTITUTE(SUBSTITUTE('01_Corrupted_General_Ledger'!F83, "$", ""), " ", ""))), 0)</f>
        <v>98</v>
      </c>
      <c r="G83" s="2">
        <f t="shared" si="1"/>
        <v>10290</v>
      </c>
      <c r="H83" s="2" t="str">
        <f>IF(OR(ISERROR('01_Corrupted_General_Ledger'!G83), '01_Corrupted_General_Ledger'!D83="VEND-999"), "REPAIRED", "VERIFIED CLEAN")</f>
        <v>VERIFIED CLEAN</v>
      </c>
    </row>
    <row r="84" spans="1:8" x14ac:dyDescent="0.4">
      <c r="A84" s="2" t="str">
        <f>'01_Corrupted_General_Ledger'!A84</f>
        <v>TXN-1083</v>
      </c>
      <c r="B84" s="3">
        <f>'01_Corrupted_General_Ledger'!B84</f>
        <v>46064</v>
      </c>
      <c r="C84" s="2" t="str">
        <f>'01_Corrupted_General_Ledger'!C84</f>
        <v>6003-SUPPLY</v>
      </c>
      <c r="D84" s="2" t="str">
        <f>IF(OR('01_Corrupted_General_Ledger'!D84="VEND-999", '01_Corrupted_General_Ledger'!D84="#N/A", ISBLANK('01_Corrupted_General_Ledger'!D84)), "VEND-DEFAULT", '01_Corrupted_General_Ledger'!D84)</f>
        <v>VEND-883</v>
      </c>
      <c r="E84" s="2">
        <f>IFERROR(VALUE(TRIM('01_Corrupted_General_Ledger'!E84)), 1)</f>
        <v>270</v>
      </c>
      <c r="F84" s="2">
        <f>IFERROR(VALUE(TRIM(SUBSTITUTE(SUBSTITUTE('01_Corrupted_General_Ledger'!F84, "$", ""), " ", ""))), 0)</f>
        <v>0</v>
      </c>
      <c r="G84" s="2">
        <f t="shared" si="1"/>
        <v>0</v>
      </c>
      <c r="H84" s="2" t="str">
        <f>IF(OR(ISERROR('01_Corrupted_General_Ledger'!G84), '01_Corrupted_General_Ledger'!D84="VEND-999"), "REPAIRED", "VERIFIED CLEAN")</f>
        <v>REPAIRED</v>
      </c>
    </row>
    <row r="85" spans="1:8" x14ac:dyDescent="0.4">
      <c r="A85" s="2" t="str">
        <f>'01_Corrupted_General_Ledger'!A85</f>
        <v>TXN-1084</v>
      </c>
      <c r="B85" s="3">
        <f>'01_Corrupted_General_Ledger'!B85</f>
        <v>46064</v>
      </c>
      <c r="C85" s="2" t="str">
        <f>'01_Corrupted_General_Ledger'!C85</f>
        <v>6001-OPEX</v>
      </c>
      <c r="D85" s="2" t="str">
        <f>IF(OR('01_Corrupted_General_Ledger'!D85="VEND-999", '01_Corrupted_General_Ledger'!D85="#N/A", ISBLANK('01_Corrupted_General_Ledger'!D85)), "VEND-DEFAULT", '01_Corrupted_General_Ledger'!D85)</f>
        <v>VEND-DEFAULT</v>
      </c>
      <c r="E85" s="2">
        <f>IFERROR(VALUE(TRIM('01_Corrupted_General_Ledger'!E85)), 1)</f>
        <v>45</v>
      </c>
      <c r="F85" s="2">
        <f>IFERROR(VALUE(TRIM(SUBSTITUTE(SUBSTITUTE('01_Corrupted_General_Ledger'!F85, "$", ""), " ", ""))), 0)</f>
        <v>0</v>
      </c>
      <c r="G85" s="2">
        <f t="shared" si="1"/>
        <v>0</v>
      </c>
      <c r="H85" s="2" t="str">
        <f>IF(OR(ISERROR('01_Corrupted_General_Ledger'!G85), '01_Corrupted_General_Ledger'!D85="VEND-999"), "REPAIRED", "VERIFIED CLEAN")</f>
        <v>REPAIRED</v>
      </c>
    </row>
    <row r="86" spans="1:8" x14ac:dyDescent="0.4">
      <c r="A86" s="2" t="str">
        <f>'01_Corrupted_General_Ledger'!A86</f>
        <v>TXN-1085</v>
      </c>
      <c r="B86" s="3">
        <f>'01_Corrupted_General_Ledger'!B86</f>
        <v>46065</v>
      </c>
      <c r="C86" s="2" t="str">
        <f>'01_Corrupted_General_Ledger'!C86</f>
        <v>6004-TRAVEL</v>
      </c>
      <c r="D86" s="2" t="str">
        <f>IF(OR('01_Corrupted_General_Ledger'!D86="VEND-999", '01_Corrupted_General_Ledger'!D86="#N/A", ISBLANK('01_Corrupted_General_Ledger'!D86)), "VEND-DEFAULT", '01_Corrupted_General_Ledger'!D86)</f>
        <v>VEND-885</v>
      </c>
      <c r="E86" s="2">
        <f>IFERROR(VALUE(TRIM('01_Corrupted_General_Ledger'!E86)), 1)</f>
        <v>440</v>
      </c>
      <c r="F86" s="2">
        <f>IFERROR(VALUE(TRIM(SUBSTITUTE(SUBSTITUTE('01_Corrupted_General_Ledger'!F86, "$", ""), " ", ""))), 0)</f>
        <v>14</v>
      </c>
      <c r="G86" s="2">
        <f t="shared" si="1"/>
        <v>6160</v>
      </c>
      <c r="H86" s="2" t="str">
        <f>IF(OR(ISERROR('01_Corrupted_General_Ledger'!G86), '01_Corrupted_General_Ledger'!D86="VEND-999"), "REPAIRED", "VERIFIED CLEAN")</f>
        <v>VERIFIED CLEAN</v>
      </c>
    </row>
    <row r="87" spans="1:8" x14ac:dyDescent="0.4">
      <c r="A87" s="2" t="str">
        <f>'01_Corrupted_General_Ledger'!A87</f>
        <v>TXN-1086</v>
      </c>
      <c r="B87" s="3">
        <f>'01_Corrupted_General_Ledger'!B87</f>
        <v>46065</v>
      </c>
      <c r="C87" s="2" t="str">
        <f>'01_Corrupted_General_Ledger'!C87</f>
        <v>6002-CAPEX</v>
      </c>
      <c r="D87" s="2" t="str">
        <f>IF(OR('01_Corrupted_General_Ledger'!D87="VEND-999", '01_Corrupted_General_Ledger'!D87="#N/A", ISBLANK('01_Corrupted_General_Ledger'!D87)), "VEND-DEFAULT", '01_Corrupted_General_Ledger'!D87)</f>
        <v>VEND-886</v>
      </c>
      <c r="E87" s="2">
        <f>IFERROR(VALUE(TRIM('01_Corrupted_General_Ledger'!E87)), 1)</f>
        <v>155</v>
      </c>
      <c r="F87" s="2">
        <f>IFERROR(VALUE(TRIM(SUBSTITUTE(SUBSTITUTE('01_Corrupted_General_Ledger'!F87, "$", ""), " ", ""))), 0)</f>
        <v>90</v>
      </c>
      <c r="G87" s="2">
        <f t="shared" si="1"/>
        <v>13950</v>
      </c>
      <c r="H87" s="2" t="str">
        <f>IF(OR(ISERROR('01_Corrupted_General_Ledger'!G87), '01_Corrupted_General_Ledger'!D87="VEND-999"), "REPAIRED", "VERIFIED CLEAN")</f>
        <v>VERIFIED CLEAN</v>
      </c>
    </row>
    <row r="88" spans="1:8" x14ac:dyDescent="0.4">
      <c r="A88" s="2" t="str">
        <f>'01_Corrupted_General_Ledger'!A88</f>
        <v>TXN-1087</v>
      </c>
      <c r="B88" s="3">
        <f>'01_Corrupted_General_Ledger'!B88</f>
        <v>46066</v>
      </c>
      <c r="C88" s="2" t="str">
        <f>'01_Corrupted_General_Ledger'!C88</f>
        <v>6001-OPEX</v>
      </c>
      <c r="D88" s="2" t="str">
        <f>IF(OR('01_Corrupted_General_Ledger'!D88="VEND-999", '01_Corrupted_General_Ledger'!D88="#N/A", ISBLANK('01_Corrupted_General_Ledger'!D88)), "VEND-DEFAULT", '01_Corrupted_General_Ledger'!D88)</f>
        <v>VEND-887</v>
      </c>
      <c r="E88" s="2">
        <f>IFERROR(VALUE(TRIM('01_Corrupted_General_Ledger'!E88)), 1)</f>
        <v>0</v>
      </c>
      <c r="F88" s="2">
        <f>IFERROR(VALUE(TRIM(SUBSTITUTE(SUBSTITUTE('01_Corrupted_General_Ledger'!F88, "$", ""), " ", ""))), 0)</f>
        <v>220</v>
      </c>
      <c r="G88" s="2">
        <f t="shared" si="1"/>
        <v>0</v>
      </c>
      <c r="H88" s="2" t="str">
        <f>IF(OR(ISERROR('01_Corrupted_General_Ledger'!G88), '01_Corrupted_General_Ledger'!D88="VEND-999"), "REPAIRED", "VERIFIED CLEAN")</f>
        <v>REPAIRED</v>
      </c>
    </row>
    <row r="89" spans="1:8" x14ac:dyDescent="0.4">
      <c r="A89" s="2" t="str">
        <f>'01_Corrupted_General_Ledger'!A89</f>
        <v>TXN-1088</v>
      </c>
      <c r="B89" s="3">
        <f>'01_Corrupted_General_Ledger'!B89</f>
        <v>46066</v>
      </c>
      <c r="C89" s="2" t="str">
        <f>'01_Corrupted_General_Ledger'!C89</f>
        <v>6003-SUPPLY</v>
      </c>
      <c r="D89" s="2" t="str">
        <f>IF(OR('01_Corrupted_General_Ledger'!D89="VEND-999", '01_Corrupted_General_Ledger'!D89="#N/A", ISBLANK('01_Corrupted_General_Ledger'!D89)), "VEND-DEFAULT", '01_Corrupted_General_Ledger'!D89)</f>
        <v>VEND-888</v>
      </c>
      <c r="E89" s="2">
        <f>IFERROR(VALUE(TRIM('01_Corrupted_General_Ledger'!E89)), 1)</f>
        <v>80</v>
      </c>
      <c r="F89" s="2">
        <f>IFERROR(VALUE(TRIM(SUBSTITUTE(SUBSTITUTE('01_Corrupted_General_Ledger'!F89, "$", ""), " ", ""))), 0)</f>
        <v>148</v>
      </c>
      <c r="G89" s="2">
        <f t="shared" si="1"/>
        <v>11840</v>
      </c>
      <c r="H89" s="2" t="str">
        <f>IF(OR(ISERROR('01_Corrupted_General_Ledger'!G89), '01_Corrupted_General_Ledger'!D89="VEND-999"), "REPAIRED", "VERIFIED CLEAN")</f>
        <v>VERIFIED CLEAN</v>
      </c>
    </row>
    <row r="90" spans="1:8" x14ac:dyDescent="0.4">
      <c r="A90" s="2" t="str">
        <f>'01_Corrupted_General_Ledger'!A90</f>
        <v>TXN-1089</v>
      </c>
      <c r="B90" s="3">
        <f>'01_Corrupted_General_Ledger'!B90</f>
        <v>46067</v>
      </c>
      <c r="C90" s="2" t="str">
        <f>'01_Corrupted_General_Ledger'!C90</f>
        <v>6001-OPEX</v>
      </c>
      <c r="D90" s="2" t="str">
        <f>IF(OR('01_Corrupted_General_Ledger'!D90="VEND-999", '01_Corrupted_General_Ledger'!D90="#N/A", ISBLANK('01_Corrupted_General_Ledger'!D90)), "VEND-DEFAULT", '01_Corrupted_General_Ledger'!D90)</f>
        <v>VEND-889</v>
      </c>
      <c r="E90" s="2">
        <f>IFERROR(VALUE(TRIM('01_Corrupted_General_Ledger'!E90)), 1)</f>
        <v>220</v>
      </c>
      <c r="F90" s="2">
        <f>IFERROR(VALUE(TRIM(SUBSTITUTE(SUBSTITUTE('01_Corrupted_General_Ledger'!F90, "$", ""), " ", ""))), 0)</f>
        <v>40</v>
      </c>
      <c r="G90" s="2">
        <f t="shared" si="1"/>
        <v>8800</v>
      </c>
      <c r="H90" s="2" t="str">
        <f>IF(OR(ISERROR('01_Corrupted_General_Ledger'!G90), '01_Corrupted_General_Ledger'!D90="VEND-999"), "REPAIRED", "VERIFIED CLEAN")</f>
        <v>VERIFIED CLEAN</v>
      </c>
    </row>
    <row r="91" spans="1:8" x14ac:dyDescent="0.4">
      <c r="A91" s="2" t="str">
        <f>'01_Corrupted_General_Ledger'!A91</f>
        <v>TXN-1090</v>
      </c>
      <c r="B91" s="3">
        <f>'01_Corrupted_General_Ledger'!B91</f>
        <v>46067</v>
      </c>
      <c r="C91" s="2" t="str">
        <f>'01_Corrupted_General_Ledger'!C91</f>
        <v>6004-TRAVEL</v>
      </c>
      <c r="D91" s="2" t="str">
        <f>IF(OR('01_Corrupted_General_Ledger'!D91="VEND-999", '01_Corrupted_General_Ledger'!D91="#N/A", ISBLANK('01_Corrupted_General_Ledger'!D91)), "VEND-DEFAULT", '01_Corrupted_General_Ledger'!D91)</f>
        <v>VEND-DEFAULT</v>
      </c>
      <c r="E91" s="2">
        <f>IFERROR(VALUE(TRIM('01_Corrupted_General_Ledger'!E91)), 1)</f>
        <v>95</v>
      </c>
      <c r="F91" s="2">
        <f>IFERROR(VALUE(TRIM(SUBSTITUTE(SUBSTITUTE('01_Corrupted_General_Ledger'!F91, "$", ""), " ", ""))), 0)</f>
        <v>0</v>
      </c>
      <c r="G91" s="2">
        <f t="shared" si="1"/>
        <v>0</v>
      </c>
      <c r="H91" s="2" t="str">
        <f>IF(OR(ISERROR('01_Corrupted_General_Ledger'!G91), '01_Corrupted_General_Ledger'!D91="VEND-999"), "REPAIRED", "VERIFIED CLEAN")</f>
        <v>REPAIRED</v>
      </c>
    </row>
    <row r="92" spans="1:8" x14ac:dyDescent="0.4">
      <c r="A92" s="2" t="str">
        <f>'01_Corrupted_General_Ledger'!A92</f>
        <v>TXN-1091</v>
      </c>
      <c r="B92" s="3">
        <f>'01_Corrupted_General_Ledger'!B92</f>
        <v>46068</v>
      </c>
      <c r="C92" s="2" t="str">
        <f>'01_Corrupted_General_Ledger'!C92</f>
        <v>6002-CAPEX</v>
      </c>
      <c r="D92" s="2" t="str">
        <f>IF(OR('01_Corrupted_General_Ledger'!D92="VEND-999", '01_Corrupted_General_Ledger'!D92="#N/A", ISBLANK('01_Corrupted_General_Ledger'!D92)), "VEND-DEFAULT", '01_Corrupted_General_Ledger'!D92)</f>
        <v>VEND-891</v>
      </c>
      <c r="E92" s="2">
        <f>IFERROR(VALUE(TRIM('01_Corrupted_General_Ledger'!E92)), 1)</f>
        <v>1</v>
      </c>
      <c r="F92" s="2">
        <f>IFERROR(VALUE(TRIM(SUBSTITUTE(SUBSTITUTE('01_Corrupted_General_Ledger'!F92, "$", ""), " ", ""))), 0)</f>
        <v>64</v>
      </c>
      <c r="G92" s="2">
        <f t="shared" si="1"/>
        <v>64</v>
      </c>
      <c r="H92" s="2" t="str">
        <f>IF(OR(ISERROR('01_Corrupted_General_Ledger'!G92), '01_Corrupted_General_Ledger'!D92="VEND-999"), "REPAIRED", "VERIFIED CLEAN")</f>
        <v>REPAIRED</v>
      </c>
    </row>
    <row r="93" spans="1:8" x14ac:dyDescent="0.4">
      <c r="A93" s="2" t="str">
        <f>'01_Corrupted_General_Ledger'!A93</f>
        <v>TXN-1092</v>
      </c>
      <c r="B93" s="3">
        <f>'01_Corrupted_General_Ledger'!B93</f>
        <v>46068</v>
      </c>
      <c r="C93" s="2" t="str">
        <f>'01_Corrupted_General_Ledger'!C93</f>
        <v>6003-SUPPLY</v>
      </c>
      <c r="D93" s="2" t="str">
        <f>IF(OR('01_Corrupted_General_Ledger'!D93="VEND-999", '01_Corrupted_General_Ledger'!D93="#N/A", ISBLANK('01_Corrupted_General_Ledger'!D93)), "VEND-DEFAULT", '01_Corrupted_General_Ledger'!D93)</f>
        <v>VEND-892</v>
      </c>
      <c r="E93" s="2">
        <f>IFERROR(VALUE(TRIM('01_Corrupted_General_Ledger'!E93)), 1)</f>
        <v>370</v>
      </c>
      <c r="F93" s="2">
        <f>IFERROR(VALUE(TRIM(SUBSTITUTE(SUBSTITUTE('01_Corrupted_General_Ledger'!F93, "$", ""), " ", ""))), 0)</f>
        <v>20</v>
      </c>
      <c r="G93" s="2">
        <f t="shared" si="1"/>
        <v>7400</v>
      </c>
      <c r="H93" s="2" t="str">
        <f>IF(OR(ISERROR('01_Corrupted_General_Ledger'!G93), '01_Corrupted_General_Ledger'!D93="VEND-999"), "REPAIRED", "VERIFIED CLEAN")</f>
        <v>VERIFIED CLEAN</v>
      </c>
    </row>
    <row r="94" spans="1:8" x14ac:dyDescent="0.4">
      <c r="A94" s="2" t="str">
        <f>'01_Corrupted_General_Ledger'!A94</f>
        <v>TXN-1093</v>
      </c>
      <c r="B94" s="3">
        <f>'01_Corrupted_General_Ledger'!B94</f>
        <v>46069</v>
      </c>
      <c r="C94" s="2" t="str">
        <f>'01_Corrupted_General_Ledger'!C94</f>
        <v>6001-OPEX</v>
      </c>
      <c r="D94" s="2" t="str">
        <f>IF(OR('01_Corrupted_General_Ledger'!D94="VEND-999", '01_Corrupted_General_Ledger'!D94="#N/A", ISBLANK('01_Corrupted_General_Ledger'!D94)), "VEND-DEFAULT", '01_Corrupted_General_Ledger'!D94)</f>
        <v>VEND-893</v>
      </c>
      <c r="E94" s="2">
        <f>IFERROR(VALUE(TRIM('01_Corrupted_General_Ledger'!E94)), 1)</f>
        <v>50</v>
      </c>
      <c r="F94" s="2">
        <f>IFERROR(VALUE(TRIM(SUBSTITUTE(SUBSTITUTE('01_Corrupted_General_Ledger'!F94, "$", ""), " ", ""))), 0)</f>
        <v>460</v>
      </c>
      <c r="G94" s="2">
        <f t="shared" si="1"/>
        <v>23000</v>
      </c>
      <c r="H94" s="2" t="str">
        <f>IF(OR(ISERROR('01_Corrupted_General_Ledger'!G94), '01_Corrupted_General_Ledger'!D94="VEND-999"), "REPAIRED", "VERIFIED CLEAN")</f>
        <v>VERIFIED CLEAN</v>
      </c>
    </row>
    <row r="95" spans="1:8" x14ac:dyDescent="0.4">
      <c r="A95" s="2" t="str">
        <f>'01_Corrupted_General_Ledger'!A95</f>
        <v>TXN-1094</v>
      </c>
      <c r="B95" s="3">
        <f>'01_Corrupted_General_Ledger'!B95</f>
        <v>46069</v>
      </c>
      <c r="C95" s="2" t="str">
        <f>'01_Corrupted_General_Ledger'!C95</f>
        <v>6004-TRAVEL</v>
      </c>
      <c r="D95" s="2" t="str">
        <f>IF(OR('01_Corrupted_General_Ledger'!D95="VEND-999", '01_Corrupted_General_Ledger'!D95="#N/A", ISBLANK('01_Corrupted_General_Ledger'!D95)), "VEND-DEFAULT", '01_Corrupted_General_Ledger'!D95)</f>
        <v>VEND-894</v>
      </c>
      <c r="E95" s="2">
        <f>IFERROR(VALUE(TRIM('01_Corrupted_General_Ledger'!E95)), 1)</f>
        <v>0</v>
      </c>
      <c r="F95" s="2">
        <f>IFERROR(VALUE(TRIM(SUBSTITUTE(SUBSTITUTE('01_Corrupted_General_Ledger'!F95, "$", ""), " ", ""))), 0)</f>
        <v>180</v>
      </c>
      <c r="G95" s="2">
        <f t="shared" si="1"/>
        <v>0</v>
      </c>
      <c r="H95" s="2" t="str">
        <f>IF(OR(ISERROR('01_Corrupted_General_Ledger'!G95), '01_Corrupted_General_Ledger'!D95="VEND-999"), "REPAIRED", "VERIFIED CLEAN")</f>
        <v>REPAIRED</v>
      </c>
    </row>
    <row r="96" spans="1:8" x14ac:dyDescent="0.4">
      <c r="A96" s="2" t="str">
        <f>'01_Corrupted_General_Ledger'!A96</f>
        <v>TXN-1095</v>
      </c>
      <c r="B96" s="3">
        <f>'01_Corrupted_General_Ledger'!B96</f>
        <v>46070</v>
      </c>
      <c r="C96" s="2" t="str">
        <f>'01_Corrupted_General_Ledger'!C96</f>
        <v>6002-CAPEX</v>
      </c>
      <c r="D96" s="2" t="str">
        <f>IF(OR('01_Corrupted_General_Ledger'!D96="VEND-999", '01_Corrupted_General_Ledger'!D96="#N/A", ISBLANK('01_Corrupted_General_Ledger'!D96)), "VEND-DEFAULT", '01_Corrupted_General_Ledger'!D96)</f>
        <v>VEND-895</v>
      </c>
      <c r="E96" s="2">
        <f>IFERROR(VALUE(TRIM('01_Corrupted_General_Ledger'!E96)), 1)</f>
        <v>120</v>
      </c>
      <c r="F96" s="2">
        <f>IFERROR(VALUE(TRIM(SUBSTITUTE(SUBSTITUTE('01_Corrupted_General_Ledger'!F96, "$", ""), " ", ""))), 0)</f>
        <v>64</v>
      </c>
      <c r="G96" s="2">
        <f t="shared" si="1"/>
        <v>7680</v>
      </c>
      <c r="H96" s="2" t="str">
        <f>IF(OR(ISERROR('01_Corrupted_General_Ledger'!G96), '01_Corrupted_General_Ledger'!D96="VEND-999"), "REPAIRED", "VERIFIED CLEAN")</f>
        <v>VERIFIED CLEAN</v>
      </c>
    </row>
    <row r="97" spans="1:8" x14ac:dyDescent="0.4">
      <c r="A97" s="2" t="str">
        <f>'01_Corrupted_General_Ledger'!A97</f>
        <v>TXN-1096</v>
      </c>
      <c r="B97" s="3">
        <f>'01_Corrupted_General_Ledger'!B97</f>
        <v>46070</v>
      </c>
      <c r="C97" s="2" t="str">
        <f>'01_Corrupted_General_Ledger'!C97</f>
        <v>6003-SUPPLY</v>
      </c>
      <c r="D97" s="2" t="str">
        <f>IF(OR('01_Corrupted_General_Ledger'!D97="VEND-999", '01_Corrupted_General_Ledger'!D97="#N/A", ISBLANK('01_Corrupted_General_Ledger'!D97)), "VEND-DEFAULT", '01_Corrupted_General_Ledger'!D97)</f>
        <v>VEND-896</v>
      </c>
      <c r="E97" s="2">
        <f>IFERROR(VALUE(TRIM('01_Corrupted_General_Ledger'!E97)), 1)</f>
        <v>235</v>
      </c>
      <c r="F97" s="2">
        <f>IFERROR(VALUE(TRIM(SUBSTITUTE(SUBSTITUTE('01_Corrupted_General_Ledger'!F97, "$", ""), " ", ""))), 0)</f>
        <v>30</v>
      </c>
      <c r="G97" s="2">
        <f t="shared" si="1"/>
        <v>7050</v>
      </c>
      <c r="H97" s="2" t="str">
        <f>IF(OR(ISERROR('01_Corrupted_General_Ledger'!G97), '01_Corrupted_General_Ledger'!D97="VEND-999"), "REPAIRED", "VERIFIED CLEAN")</f>
        <v>VERIFIED CLEAN</v>
      </c>
    </row>
    <row r="98" spans="1:8" x14ac:dyDescent="0.4">
      <c r="A98" s="2" t="str">
        <f>'01_Corrupted_General_Ledger'!A98</f>
        <v>TXN-1097</v>
      </c>
      <c r="B98" s="3">
        <f>'01_Corrupted_General_Ledger'!B98</f>
        <v>46071</v>
      </c>
      <c r="C98" s="2" t="str">
        <f>'01_Corrupted_General_Ledger'!C98</f>
        <v>6001-OPEX</v>
      </c>
      <c r="D98" s="2" t="str">
        <f>IF(OR('01_Corrupted_General_Ledger'!D98="VEND-999", '01_Corrupted_General_Ledger'!D98="#N/A", ISBLANK('01_Corrupted_General_Ledger'!D98)), "VEND-DEFAULT", '01_Corrupted_General_Ledger'!D98)</f>
        <v>VEND-DEFAULT</v>
      </c>
      <c r="E98" s="2">
        <f>IFERROR(VALUE(TRIM('01_Corrupted_General_Ledger'!E98)), 1)</f>
        <v>88</v>
      </c>
      <c r="F98" s="2">
        <f>IFERROR(VALUE(TRIM(SUBSTITUTE(SUBSTITUTE('01_Corrupted_General_Ledger'!F98, "$", ""), " ", ""))), 0)</f>
        <v>0</v>
      </c>
      <c r="G98" s="2">
        <f t="shared" si="1"/>
        <v>0</v>
      </c>
      <c r="H98" s="2" t="str">
        <f>IF(OR(ISERROR('01_Corrupted_General_Ledger'!G98), '01_Corrupted_General_Ledger'!D98="VEND-999"), "REPAIRED", "VERIFIED CLEAN")</f>
        <v>REPAIRED</v>
      </c>
    </row>
    <row r="99" spans="1:8" x14ac:dyDescent="0.4">
      <c r="A99" s="2" t="str">
        <f>'01_Corrupted_General_Ledger'!A99</f>
        <v>TXN-1098</v>
      </c>
      <c r="B99" s="3">
        <f>'01_Corrupted_General_Ledger'!B99</f>
        <v>46071</v>
      </c>
      <c r="C99" s="2" t="str">
        <f>'01_Corrupted_General_Ledger'!C99</f>
        <v>6004-TRAVEL</v>
      </c>
      <c r="D99" s="2" t="str">
        <f>IF(OR('01_Corrupted_General_Ledger'!D99="VEND-999", '01_Corrupted_General_Ledger'!D99="#N/A", ISBLANK('01_Corrupted_General_Ledger'!D99)), "VEND-DEFAULT", '01_Corrupted_General_Ledger'!D99)</f>
        <v>VEND-898</v>
      </c>
      <c r="E99" s="2">
        <f>IFERROR(VALUE(TRIM('01_Corrupted_General_Ledger'!E99)), 1)</f>
        <v>295</v>
      </c>
      <c r="F99" s="2">
        <f>IFERROR(VALUE(TRIM(SUBSTITUTE(SUBSTITUTE('01_Corrupted_General_Ledger'!F99, "$", ""), " ", ""))), 0)</f>
        <v>46</v>
      </c>
      <c r="G99" s="2">
        <f t="shared" si="1"/>
        <v>13570</v>
      </c>
      <c r="H99" s="2" t="str">
        <f>IF(OR(ISERROR('01_Corrupted_General_Ledger'!G99), '01_Corrupted_General_Ledger'!D99="VEND-999"), "REPAIRED", "VERIFIED CLEAN")</f>
        <v>VERIFIED CLEAN</v>
      </c>
    </row>
    <row r="100" spans="1:8" x14ac:dyDescent="0.4">
      <c r="A100" s="2" t="str">
        <f>'01_Corrupted_General_Ledger'!A100</f>
        <v>TXN-1099</v>
      </c>
      <c r="B100" s="3">
        <f>'01_Corrupted_General_Ledger'!B100</f>
        <v>46072</v>
      </c>
      <c r="C100" s="2" t="str">
        <f>'01_Corrupted_General_Ledger'!C100</f>
        <v>6002-CAPEX</v>
      </c>
      <c r="D100" s="2" t="str">
        <f>IF(OR('01_Corrupted_General_Ledger'!D100="VEND-999", '01_Corrupted_General_Ledger'!D100="#N/A", ISBLANK('01_Corrupted_General_Ledger'!D100)), "VEND-DEFAULT", '01_Corrupted_General_Ledger'!D100)</f>
        <v>VEND-899</v>
      </c>
      <c r="E100" s="2">
        <f>IFERROR(VALUE(TRIM('01_Corrupted_General_Ledger'!E100)), 1)</f>
        <v>1</v>
      </c>
      <c r="F100" s="2">
        <f>IFERROR(VALUE(TRIM(SUBSTITUTE(SUBSTITUTE('01_Corrupted_General_Ledger'!F100, "$", ""), " ", ""))), 0)</f>
        <v>125</v>
      </c>
      <c r="G100" s="2">
        <f t="shared" si="1"/>
        <v>125</v>
      </c>
      <c r="H100" s="2" t="str">
        <f>IF(OR(ISERROR('01_Corrupted_General_Ledger'!G100), '01_Corrupted_General_Ledger'!D100="VEND-999"), "REPAIRED", "VERIFIED CLEAN")</f>
        <v>REPAIRED</v>
      </c>
    </row>
    <row r="101" spans="1:8" x14ac:dyDescent="0.4">
      <c r="A101" s="2" t="str">
        <f>'01_Corrupted_General_Ledger'!A101</f>
        <v>TXN-1100</v>
      </c>
      <c r="B101" s="3">
        <f>'01_Corrupted_General_Ledger'!B101</f>
        <v>46072</v>
      </c>
      <c r="C101" s="2" t="str">
        <f>'01_Corrupted_General_Ledger'!C101</f>
        <v>6003-SUPPLY</v>
      </c>
      <c r="D101" s="2" t="str">
        <f>IF(OR('01_Corrupted_General_Ledger'!D101="VEND-999", '01_Corrupted_General_Ledger'!D101="#N/A", ISBLANK('01_Corrupted_General_Ledger'!D101)), "VEND-DEFAULT", '01_Corrupted_General_Ledger'!D101)</f>
        <v>VEND-900</v>
      </c>
      <c r="E101" s="2">
        <f>IFERROR(VALUE(TRIM('01_Corrupted_General_Ledger'!E101)), 1)</f>
        <v>175</v>
      </c>
      <c r="F101" s="2">
        <f>IFERROR(VALUE(TRIM(SUBSTITUTE(SUBSTITUTE('01_Corrupted_General_Ledger'!F101, "$", ""), " ", ""))), 0)</f>
        <v>92</v>
      </c>
      <c r="G101" s="2">
        <f t="shared" si="1"/>
        <v>16100</v>
      </c>
      <c r="H101" s="2" t="str">
        <f>IF(OR(ISERROR('01_Corrupted_General_Ledger'!G101), '01_Corrupted_General_Ledger'!D101="VEND-999"), "REPAIRED", "VERIFIED CLEAN")</f>
        <v>VERIFIED CLEAN</v>
      </c>
    </row>
  </sheetData>
  <conditionalFormatting sqref="A2:H101">
    <cfRule type="expression" dxfId="1" priority="1">
      <formula>MOD(ROW(), 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F2E4-6006-4600-8A3E-9F570D1D50F5}">
  <dimension ref="A1:F101"/>
  <sheetViews>
    <sheetView workbookViewId="0">
      <selection activeCell="E11" sqref="E11"/>
    </sheetView>
  </sheetViews>
  <sheetFormatPr defaultRowHeight="16.8" x14ac:dyDescent="0.4"/>
  <cols>
    <col min="1" max="1" width="9.33203125" style="1" bestFit="1" customWidth="1"/>
    <col min="2" max="2" width="22.77734375" style="1" bestFit="1" customWidth="1"/>
    <col min="3" max="3" width="24" style="1" bestFit="1" customWidth="1"/>
    <col min="4" max="4" width="17.21875" style="1" bestFit="1" customWidth="1"/>
    <col min="5" max="5" width="19" style="1" bestFit="1" customWidth="1"/>
    <col min="6" max="6" width="19.6640625" style="1" bestFit="1" customWidth="1"/>
    <col min="7" max="16384" width="8.88671875" style="1"/>
  </cols>
  <sheetData>
    <row r="1" spans="1:6" x14ac:dyDescent="0.4">
      <c r="A1" s="4" t="s">
        <v>0</v>
      </c>
      <c r="B1" s="4" t="s">
        <v>224</v>
      </c>
      <c r="C1" s="4" t="s">
        <v>7</v>
      </c>
      <c r="D1" s="4" t="s">
        <v>226</v>
      </c>
      <c r="E1" s="4" t="s">
        <v>227</v>
      </c>
      <c r="F1" s="4" t="s">
        <v>228</v>
      </c>
    </row>
    <row r="2" spans="1:6" x14ac:dyDescent="0.4">
      <c r="A2" s="2" t="str">
        <f>'02_Formula_Repair_Engine'!A2</f>
        <v>TXN-1001</v>
      </c>
      <c r="B2" s="2">
        <f>'02_Formula_Repair_Engine'!G2</f>
        <v>6750</v>
      </c>
      <c r="C2" s="2">
        <f>'01_Corrupted_General_Ledger'!H2</f>
        <v>6750</v>
      </c>
      <c r="D2" s="2">
        <f>ABS(B2-C2)</f>
        <v>0</v>
      </c>
      <c r="E2" s="2">
        <v>0.05</v>
      </c>
      <c r="F2" s="2" t="str">
        <f>IF(D2&lt;=E2, "MATCHED", "VARIANCE DETECTED")</f>
        <v>MATCHED</v>
      </c>
    </row>
    <row r="3" spans="1:6" x14ac:dyDescent="0.4">
      <c r="A3" s="2" t="str">
        <f>'02_Formula_Repair_Engine'!A3</f>
        <v>TXN-1002</v>
      </c>
      <c r="B3" s="2">
        <f>'02_Formula_Repair_Engine'!G3</f>
        <v>0</v>
      </c>
      <c r="C3" s="2">
        <f>'01_Corrupted_General_Ledger'!H3</f>
        <v>3200</v>
      </c>
      <c r="D3" s="2">
        <f t="shared" ref="D3:D66" si="0">ABS(B3-C3)</f>
        <v>3200</v>
      </c>
      <c r="E3" s="2">
        <v>0.05</v>
      </c>
      <c r="F3" s="2" t="str">
        <f t="shared" ref="F3:F66" si="1">IF(D3&lt;=E3, "MATCHED", "VARIANCE DETECTED")</f>
        <v>VARIANCE DETECTED</v>
      </c>
    </row>
    <row r="4" spans="1:6" x14ac:dyDescent="0.4">
      <c r="A4" s="2" t="str">
        <f>'02_Formula_Repair_Engine'!A4</f>
        <v>TXN-1003</v>
      </c>
      <c r="B4" s="2">
        <f>'02_Formula_Repair_Engine'!G4</f>
        <v>0</v>
      </c>
      <c r="C4" s="2">
        <f>'01_Corrupted_General_Ledger'!H4</f>
        <v>0</v>
      </c>
      <c r="D4" s="2">
        <f t="shared" si="0"/>
        <v>0</v>
      </c>
      <c r="E4" s="2">
        <v>0.05</v>
      </c>
      <c r="F4" s="2" t="str">
        <f t="shared" si="1"/>
        <v>MATCHED</v>
      </c>
    </row>
    <row r="5" spans="1:6" x14ac:dyDescent="0.4">
      <c r="A5" s="2" t="str">
        <f>'02_Formula_Repair_Engine'!A5</f>
        <v>TXN-1004</v>
      </c>
      <c r="B5" s="2">
        <f>'02_Formula_Repair_Engine'!G5</f>
        <v>3100</v>
      </c>
      <c r="C5" s="2">
        <f>'01_Corrupted_General_Ledger'!H5</f>
        <v>3100</v>
      </c>
      <c r="D5" s="2">
        <f t="shared" si="0"/>
        <v>0</v>
      </c>
      <c r="E5" s="2">
        <v>0.05</v>
      </c>
      <c r="F5" s="2" t="str">
        <f t="shared" si="1"/>
        <v>MATCHED</v>
      </c>
    </row>
    <row r="6" spans="1:6" x14ac:dyDescent="0.4">
      <c r="A6" s="2" t="str">
        <f>'02_Formula_Repair_Engine'!A6</f>
        <v>TXN-1005</v>
      </c>
      <c r="B6" s="2">
        <f>'02_Formula_Repair_Engine'!G6</f>
        <v>15500</v>
      </c>
      <c r="C6" s="2">
        <f>'01_Corrupted_General_Ledger'!H6</f>
        <v>15500</v>
      </c>
      <c r="D6" s="2">
        <f t="shared" si="0"/>
        <v>0</v>
      </c>
      <c r="E6" s="2">
        <v>0.05</v>
      </c>
      <c r="F6" s="2" t="str">
        <f t="shared" si="1"/>
        <v>MATCHED</v>
      </c>
    </row>
    <row r="7" spans="1:6" x14ac:dyDescent="0.4">
      <c r="A7" s="2" t="str">
        <f>'02_Formula_Repair_Engine'!A7</f>
        <v>TXN-1006</v>
      </c>
      <c r="B7" s="2">
        <f>'02_Formula_Repair_Engine'!G7</f>
        <v>75</v>
      </c>
      <c r="C7" s="2">
        <f>'01_Corrupted_General_Ledger'!H7</f>
        <v>1875</v>
      </c>
      <c r="D7" s="2">
        <f t="shared" si="0"/>
        <v>1800</v>
      </c>
      <c r="E7" s="2">
        <v>0.05</v>
      </c>
      <c r="F7" s="2" t="str">
        <f t="shared" si="1"/>
        <v>VARIANCE DETECTED</v>
      </c>
    </row>
    <row r="8" spans="1:6" x14ac:dyDescent="0.4">
      <c r="A8" s="2" t="str">
        <f>'02_Formula_Repair_Engine'!A8</f>
        <v>TXN-1007</v>
      </c>
      <c r="B8" s="2">
        <f>'02_Formula_Repair_Engine'!G8</f>
        <v>11400</v>
      </c>
      <c r="C8" s="2">
        <f>'01_Corrupted_General_Ledger'!H8</f>
        <v>11400</v>
      </c>
      <c r="D8" s="2">
        <f t="shared" si="0"/>
        <v>0</v>
      </c>
      <c r="E8" s="2">
        <v>0.05</v>
      </c>
      <c r="F8" s="2" t="str">
        <f t="shared" si="1"/>
        <v>MATCHED</v>
      </c>
    </row>
    <row r="9" spans="1:6" x14ac:dyDescent="0.4">
      <c r="A9" s="2" t="str">
        <f>'02_Formula_Repair_Engine'!A9</f>
        <v>TXN-1008</v>
      </c>
      <c r="B9" s="2">
        <f>'02_Formula_Repair_Engine'!G9</f>
        <v>0</v>
      </c>
      <c r="C9" s="2">
        <f>'01_Corrupted_General_Ledger'!H9</f>
        <v>0</v>
      </c>
      <c r="D9" s="2">
        <f t="shared" si="0"/>
        <v>0</v>
      </c>
      <c r="E9" s="2">
        <v>0.05</v>
      </c>
      <c r="F9" s="2" t="str">
        <f t="shared" si="1"/>
        <v>MATCHED</v>
      </c>
    </row>
    <row r="10" spans="1:6" x14ac:dyDescent="0.4">
      <c r="A10" s="2" t="str">
        <f>'02_Formula_Repair_Engine'!A10</f>
        <v>TXN-1009</v>
      </c>
      <c r="B10" s="2">
        <f>'02_Formula_Repair_Engine'!G10</f>
        <v>0</v>
      </c>
      <c r="C10" s="2">
        <f>'01_Corrupted_General_Ledger'!H10</f>
        <v>1800</v>
      </c>
      <c r="D10" s="2">
        <f t="shared" si="0"/>
        <v>1800</v>
      </c>
      <c r="E10" s="2">
        <v>0.05</v>
      </c>
      <c r="F10" s="2" t="str">
        <f t="shared" si="1"/>
        <v>VARIANCE DETECTED</v>
      </c>
    </row>
    <row r="11" spans="1:6" x14ac:dyDescent="0.4">
      <c r="A11" s="2" t="str">
        <f>'02_Formula_Repair_Engine'!A11</f>
        <v>TXN-1010</v>
      </c>
      <c r="B11" s="2">
        <f>'02_Formula_Repair_Engine'!G11</f>
        <v>6250</v>
      </c>
      <c r="C11" s="2">
        <f>'01_Corrupted_General_Ledger'!H11</f>
        <v>6250</v>
      </c>
      <c r="D11" s="2">
        <f t="shared" si="0"/>
        <v>0</v>
      </c>
      <c r="E11" s="2">
        <v>0.05</v>
      </c>
      <c r="F11" s="2" t="str">
        <f t="shared" si="1"/>
        <v>MATCHED</v>
      </c>
    </row>
    <row r="12" spans="1:6" x14ac:dyDescent="0.4">
      <c r="A12" s="2" t="str">
        <f>'02_Formula_Repair_Engine'!A12</f>
        <v>TXN-1011</v>
      </c>
      <c r="B12" s="2">
        <f>'02_Formula_Repair_Engine'!G12</f>
        <v>15400</v>
      </c>
      <c r="C12" s="2">
        <f>'01_Corrupted_General_Ledger'!H12</f>
        <v>15400</v>
      </c>
      <c r="D12" s="2">
        <f t="shared" si="0"/>
        <v>0</v>
      </c>
      <c r="E12" s="2">
        <v>0.05</v>
      </c>
      <c r="F12" s="2" t="str">
        <f t="shared" si="1"/>
        <v>MATCHED</v>
      </c>
    </row>
    <row r="13" spans="1:6" x14ac:dyDescent="0.4">
      <c r="A13" s="2" t="str">
        <f>'02_Formula_Repair_Engine'!A13</f>
        <v>TXN-1012</v>
      </c>
      <c r="B13" s="2">
        <f>'02_Formula_Repair_Engine'!G13</f>
        <v>0</v>
      </c>
      <c r="C13" s="2">
        <f>'01_Corrupted_General_Ledger'!H13</f>
        <v>0</v>
      </c>
      <c r="D13" s="2">
        <f t="shared" si="0"/>
        <v>0</v>
      </c>
      <c r="E13" s="2">
        <v>0.05</v>
      </c>
      <c r="F13" s="2" t="str">
        <f t="shared" si="1"/>
        <v>MATCHED</v>
      </c>
    </row>
    <row r="14" spans="1:6" x14ac:dyDescent="0.4">
      <c r="A14" s="2" t="str">
        <f>'02_Formula_Repair_Engine'!A14</f>
        <v>TXN-1013</v>
      </c>
      <c r="B14" s="2">
        <f>'02_Formula_Repair_Engine'!G14</f>
        <v>12600</v>
      </c>
      <c r="C14" s="2">
        <f>'01_Corrupted_General_Ledger'!H14</f>
        <v>12600</v>
      </c>
      <c r="D14" s="2">
        <f t="shared" si="0"/>
        <v>0</v>
      </c>
      <c r="E14" s="2">
        <v>0.05</v>
      </c>
      <c r="F14" s="2" t="str">
        <f t="shared" si="1"/>
        <v>MATCHED</v>
      </c>
    </row>
    <row r="15" spans="1:6" x14ac:dyDescent="0.4">
      <c r="A15" s="2" t="str">
        <f>'02_Formula_Repair_Engine'!A15</f>
        <v>TXN-1014</v>
      </c>
      <c r="B15" s="2">
        <f>'02_Formula_Repair_Engine'!G15</f>
        <v>7700</v>
      </c>
      <c r="C15" s="2">
        <f>'01_Corrupted_General_Ledger'!H15</f>
        <v>7700</v>
      </c>
      <c r="D15" s="2">
        <f t="shared" si="0"/>
        <v>0</v>
      </c>
      <c r="E15" s="2">
        <v>0.05</v>
      </c>
      <c r="F15" s="2" t="str">
        <f t="shared" si="1"/>
        <v>MATCHED</v>
      </c>
    </row>
    <row r="16" spans="1:6" x14ac:dyDescent="0.4">
      <c r="A16" s="2" t="str">
        <f>'02_Formula_Repair_Engine'!A16</f>
        <v>TXN-1015</v>
      </c>
      <c r="B16" s="2">
        <f>'02_Formula_Repair_Engine'!G16</f>
        <v>0</v>
      </c>
      <c r="C16" s="2">
        <f>'01_Corrupted_General_Ledger'!H16</f>
        <v>5500</v>
      </c>
      <c r="D16" s="2">
        <f t="shared" si="0"/>
        <v>5500</v>
      </c>
      <c r="E16" s="2">
        <v>0.05</v>
      </c>
      <c r="F16" s="2" t="str">
        <f t="shared" si="1"/>
        <v>VARIANCE DETECTED</v>
      </c>
    </row>
    <row r="17" spans="1:6" x14ac:dyDescent="0.4">
      <c r="A17" s="2" t="str">
        <f>'02_Formula_Repair_Engine'!A17</f>
        <v>TXN-1016</v>
      </c>
      <c r="B17" s="2">
        <f>'02_Formula_Repair_Engine'!G17</f>
        <v>62</v>
      </c>
      <c r="C17" s="2">
        <f>'01_Corrupted_General_Ledger'!H17</f>
        <v>3100</v>
      </c>
      <c r="D17" s="2">
        <f t="shared" si="0"/>
        <v>3038</v>
      </c>
      <c r="E17" s="2">
        <v>0.05</v>
      </c>
      <c r="F17" s="2" t="str">
        <f t="shared" si="1"/>
        <v>VARIANCE DETECTED</v>
      </c>
    </row>
    <row r="18" spans="1:6" x14ac:dyDescent="0.4">
      <c r="A18" s="2" t="str">
        <f>'02_Formula_Repair_Engine'!A18</f>
        <v>TXN-1017</v>
      </c>
      <c r="B18" s="2">
        <f>'02_Formula_Repair_Engine'!G18</f>
        <v>7200</v>
      </c>
      <c r="C18" s="2">
        <f>'01_Corrupted_General_Ledger'!H18</f>
        <v>7200</v>
      </c>
      <c r="D18" s="2">
        <f t="shared" si="0"/>
        <v>0</v>
      </c>
      <c r="E18" s="2">
        <v>0.05</v>
      </c>
      <c r="F18" s="2" t="str">
        <f t="shared" si="1"/>
        <v>MATCHED</v>
      </c>
    </row>
    <row r="19" spans="1:6" x14ac:dyDescent="0.4">
      <c r="A19" s="2" t="str">
        <f>'02_Formula_Repair_Engine'!A19</f>
        <v>TXN-1018</v>
      </c>
      <c r="B19" s="2">
        <f>'02_Formula_Repair_Engine'!G19</f>
        <v>27000</v>
      </c>
      <c r="C19" s="2">
        <f>'01_Corrupted_General_Ledger'!H19</f>
        <v>27000</v>
      </c>
      <c r="D19" s="2">
        <f t="shared" si="0"/>
        <v>0</v>
      </c>
      <c r="E19" s="2">
        <v>0.05</v>
      </c>
      <c r="F19" s="2" t="str">
        <f t="shared" si="1"/>
        <v>MATCHED</v>
      </c>
    </row>
    <row r="20" spans="1:6" x14ac:dyDescent="0.4">
      <c r="A20" s="2" t="str">
        <f>'02_Formula_Repair_Engine'!A20</f>
        <v>TXN-1019</v>
      </c>
      <c r="B20" s="2">
        <f>'02_Formula_Repair_Engine'!G20</f>
        <v>0</v>
      </c>
      <c r="C20" s="2">
        <f>'01_Corrupted_General_Ledger'!H20</f>
        <v>0</v>
      </c>
      <c r="D20" s="2">
        <f t="shared" si="0"/>
        <v>0</v>
      </c>
      <c r="E20" s="2">
        <v>0.05</v>
      </c>
      <c r="F20" s="2" t="str">
        <f t="shared" si="1"/>
        <v>MATCHED</v>
      </c>
    </row>
    <row r="21" spans="1:6" x14ac:dyDescent="0.4">
      <c r="A21" s="2" t="str">
        <f>'02_Formula_Repair_Engine'!A21</f>
        <v>TXN-1020</v>
      </c>
      <c r="B21" s="2">
        <f>'02_Formula_Repair_Engine'!G21</f>
        <v>6760</v>
      </c>
      <c r="C21" s="2">
        <f>'01_Corrupted_General_Ledger'!H21</f>
        <v>6760</v>
      </c>
      <c r="D21" s="2">
        <f t="shared" si="0"/>
        <v>0</v>
      </c>
      <c r="E21" s="2">
        <v>0.05</v>
      </c>
      <c r="F21" s="2" t="str">
        <f t="shared" si="1"/>
        <v>MATCHED</v>
      </c>
    </row>
    <row r="22" spans="1:6" x14ac:dyDescent="0.4">
      <c r="A22" s="2" t="str">
        <f>'02_Formula_Repair_Engine'!A22</f>
        <v>TXN-1021</v>
      </c>
      <c r="B22" s="2">
        <f>'02_Formula_Repair_Engine'!G22</f>
        <v>6000</v>
      </c>
      <c r="C22" s="2">
        <f>'01_Corrupted_General_Ledger'!H22</f>
        <v>6000</v>
      </c>
      <c r="D22" s="2">
        <f t="shared" si="0"/>
        <v>0</v>
      </c>
      <c r="E22" s="2">
        <v>0.05</v>
      </c>
      <c r="F22" s="2" t="str">
        <f t="shared" si="1"/>
        <v>MATCHED</v>
      </c>
    </row>
    <row r="23" spans="1:6" x14ac:dyDescent="0.4">
      <c r="A23" s="2" t="str">
        <f>'02_Formula_Repair_Engine'!A23</f>
        <v>TXN-1022</v>
      </c>
      <c r="B23" s="2">
        <f>'02_Formula_Repair_Engine'!G23</f>
        <v>0</v>
      </c>
      <c r="C23" s="2">
        <f>'01_Corrupted_General_Ledger'!H23</f>
        <v>4750</v>
      </c>
      <c r="D23" s="2">
        <f t="shared" si="0"/>
        <v>4750</v>
      </c>
      <c r="E23" s="2">
        <v>0.05</v>
      </c>
      <c r="F23" s="2" t="str">
        <f t="shared" si="1"/>
        <v>VARIANCE DETECTED</v>
      </c>
    </row>
    <row r="24" spans="1:6" x14ac:dyDescent="0.4">
      <c r="A24" s="2" t="str">
        <f>'02_Formula_Repair_Engine'!A24</f>
        <v>TXN-1023</v>
      </c>
      <c r="B24" s="2">
        <f>'02_Formula_Repair_Engine'!G24</f>
        <v>12400</v>
      </c>
      <c r="C24" s="2">
        <f>'01_Corrupted_General_Ledger'!H24</f>
        <v>12400</v>
      </c>
      <c r="D24" s="2">
        <f t="shared" si="0"/>
        <v>0</v>
      </c>
      <c r="E24" s="2">
        <v>0.05</v>
      </c>
      <c r="F24" s="2" t="str">
        <f t="shared" si="1"/>
        <v>MATCHED</v>
      </c>
    </row>
    <row r="25" spans="1:6" x14ac:dyDescent="0.4">
      <c r="A25" s="2" t="str">
        <f>'02_Formula_Repair_Engine'!A25</f>
        <v>TXN-1024</v>
      </c>
      <c r="B25" s="2">
        <f>'02_Formula_Repair_Engine'!G25</f>
        <v>115</v>
      </c>
      <c r="C25" s="2">
        <f>'01_Corrupted_General_Ledger'!H25</f>
        <v>5750</v>
      </c>
      <c r="D25" s="2">
        <f t="shared" si="0"/>
        <v>5635</v>
      </c>
      <c r="E25" s="2">
        <v>0.05</v>
      </c>
      <c r="F25" s="2" t="str">
        <f t="shared" si="1"/>
        <v>VARIANCE DETECTED</v>
      </c>
    </row>
    <row r="26" spans="1:6" x14ac:dyDescent="0.4">
      <c r="A26" s="2" t="str">
        <f>'02_Formula_Repair_Engine'!A26</f>
        <v>TXN-1025</v>
      </c>
      <c r="B26" s="2">
        <f>'02_Formula_Repair_Engine'!G26</f>
        <v>15300</v>
      </c>
      <c r="C26" s="2">
        <f>'01_Corrupted_General_Ledger'!H26</f>
        <v>15300</v>
      </c>
      <c r="D26" s="2">
        <f t="shared" si="0"/>
        <v>0</v>
      </c>
      <c r="E26" s="2">
        <v>0.05</v>
      </c>
      <c r="F26" s="2" t="str">
        <f t="shared" si="1"/>
        <v>MATCHED</v>
      </c>
    </row>
    <row r="27" spans="1:6" x14ac:dyDescent="0.4">
      <c r="A27" s="2" t="str">
        <f>'02_Formula_Repair_Engine'!A27</f>
        <v>TXN-1026</v>
      </c>
      <c r="B27" s="2">
        <f>'02_Formula_Repair_Engine'!G27</f>
        <v>7700</v>
      </c>
      <c r="C27" s="2">
        <f>'01_Corrupted_General_Ledger'!H27</f>
        <v>7700</v>
      </c>
      <c r="D27" s="2">
        <f t="shared" si="0"/>
        <v>0</v>
      </c>
      <c r="E27" s="2">
        <v>0.05</v>
      </c>
      <c r="F27" s="2" t="str">
        <f t="shared" si="1"/>
        <v>MATCHED</v>
      </c>
    </row>
    <row r="28" spans="1:6" x14ac:dyDescent="0.4">
      <c r="A28" s="2" t="str">
        <f>'02_Formula_Repair_Engine'!A28</f>
        <v>TXN-1027</v>
      </c>
      <c r="B28" s="2">
        <f>'02_Formula_Repair_Engine'!G28</f>
        <v>0</v>
      </c>
      <c r="C28" s="2">
        <f>'01_Corrupted_General_Ledger'!H28</f>
        <v>2600</v>
      </c>
      <c r="D28" s="2">
        <f t="shared" si="0"/>
        <v>2600</v>
      </c>
      <c r="E28" s="2">
        <v>0.05</v>
      </c>
      <c r="F28" s="2" t="str">
        <f t="shared" si="1"/>
        <v>VARIANCE DETECTED</v>
      </c>
    </row>
    <row r="29" spans="1:6" x14ac:dyDescent="0.4">
      <c r="A29" s="2" t="str">
        <f>'02_Formula_Repair_Engine'!A29</f>
        <v>TXN-1028</v>
      </c>
      <c r="B29" s="2">
        <f>'02_Formula_Repair_Engine'!G29</f>
        <v>0</v>
      </c>
      <c r="C29" s="2">
        <f>'01_Corrupted_General_Ledger'!H29</f>
        <v>0</v>
      </c>
      <c r="D29" s="2">
        <f t="shared" si="0"/>
        <v>0</v>
      </c>
      <c r="E29" s="2">
        <v>0.05</v>
      </c>
      <c r="F29" s="2" t="str">
        <f t="shared" si="1"/>
        <v>MATCHED</v>
      </c>
    </row>
    <row r="30" spans="1:6" x14ac:dyDescent="0.4">
      <c r="A30" s="2" t="str">
        <f>'02_Formula_Repair_Engine'!A30</f>
        <v>TXN-1029</v>
      </c>
      <c r="B30" s="2">
        <f>'02_Formula_Repair_Engine'!G30</f>
        <v>3885</v>
      </c>
      <c r="C30" s="2">
        <f>'01_Corrupted_General_Ledger'!H30</f>
        <v>3885</v>
      </c>
      <c r="D30" s="2">
        <f t="shared" si="0"/>
        <v>0</v>
      </c>
      <c r="E30" s="2">
        <v>0.05</v>
      </c>
      <c r="F30" s="2" t="str">
        <f t="shared" si="1"/>
        <v>MATCHED</v>
      </c>
    </row>
    <row r="31" spans="1:6" x14ac:dyDescent="0.4">
      <c r="A31" s="2" t="str">
        <f>'02_Formula_Repair_Engine'!A31</f>
        <v>TXN-1030</v>
      </c>
      <c r="B31" s="2">
        <f>'02_Formula_Repair_Engine'!G31</f>
        <v>13050</v>
      </c>
      <c r="C31" s="2">
        <f>'01_Corrupted_General_Ledger'!H31</f>
        <v>13050</v>
      </c>
      <c r="D31" s="2">
        <f t="shared" si="0"/>
        <v>0</v>
      </c>
      <c r="E31" s="2">
        <v>0.05</v>
      </c>
      <c r="F31" s="2" t="str">
        <f t="shared" si="1"/>
        <v>MATCHED</v>
      </c>
    </row>
    <row r="32" spans="1:6" x14ac:dyDescent="0.4">
      <c r="A32" s="2" t="str">
        <f>'02_Formula_Repair_Engine'!A32</f>
        <v>TXN-1031</v>
      </c>
      <c r="B32" s="2">
        <f>'02_Formula_Repair_Engine'!G32</f>
        <v>80</v>
      </c>
      <c r="C32" s="2">
        <f>'01_Corrupted_General_Ledger'!H32</f>
        <v>2000</v>
      </c>
      <c r="D32" s="2">
        <f t="shared" si="0"/>
        <v>1920</v>
      </c>
      <c r="E32" s="2">
        <v>0.05</v>
      </c>
      <c r="F32" s="2" t="str">
        <f t="shared" si="1"/>
        <v>VARIANCE DETECTED</v>
      </c>
    </row>
    <row r="33" spans="1:6" x14ac:dyDescent="0.4">
      <c r="A33" s="2" t="str">
        <f>'02_Formula_Repair_Engine'!A33</f>
        <v>TXN-1032</v>
      </c>
      <c r="B33" s="2">
        <f>'02_Formula_Repair_Engine'!G33</f>
        <v>11550</v>
      </c>
      <c r="C33" s="2">
        <f>'01_Corrupted_General_Ledger'!H33</f>
        <v>11550</v>
      </c>
      <c r="D33" s="2">
        <f t="shared" si="0"/>
        <v>0</v>
      </c>
      <c r="E33" s="2">
        <v>0.05</v>
      </c>
      <c r="F33" s="2" t="str">
        <f t="shared" si="1"/>
        <v>MATCHED</v>
      </c>
    </row>
    <row r="34" spans="1:6" x14ac:dyDescent="0.4">
      <c r="A34" s="2" t="str">
        <f>'02_Formula_Repair_Engine'!A34</f>
        <v>TXN-1033</v>
      </c>
      <c r="B34" s="2">
        <f>'02_Formula_Repair_Engine'!G34</f>
        <v>0</v>
      </c>
      <c r="C34" s="2">
        <f>'01_Corrupted_General_Ledger'!H34</f>
        <v>0</v>
      </c>
      <c r="D34" s="2">
        <f t="shared" si="0"/>
        <v>0</v>
      </c>
      <c r="E34" s="2">
        <v>0.05</v>
      </c>
      <c r="F34" s="2" t="str">
        <f t="shared" si="1"/>
        <v>MATCHED</v>
      </c>
    </row>
    <row r="35" spans="1:6" x14ac:dyDescent="0.4">
      <c r="A35" s="2" t="str">
        <f>'02_Formula_Repair_Engine'!A35</f>
        <v>TXN-1034</v>
      </c>
      <c r="B35" s="2">
        <f>'02_Formula_Repair_Engine'!G35</f>
        <v>0</v>
      </c>
      <c r="C35" s="2">
        <f>'01_Corrupted_General_Ledger'!H35</f>
        <v>2250</v>
      </c>
      <c r="D35" s="2">
        <f t="shared" si="0"/>
        <v>2250</v>
      </c>
      <c r="E35" s="2">
        <v>0.05</v>
      </c>
      <c r="F35" s="2" t="str">
        <f t="shared" si="1"/>
        <v>VARIANCE DETECTED</v>
      </c>
    </row>
    <row r="36" spans="1:6" x14ac:dyDescent="0.4">
      <c r="A36" s="2" t="str">
        <f>'02_Formula_Repair_Engine'!A36</f>
        <v>TXN-1035</v>
      </c>
      <c r="B36" s="2">
        <f>'02_Formula_Repair_Engine'!G36</f>
        <v>6750</v>
      </c>
      <c r="C36" s="2">
        <f>'01_Corrupted_General_Ledger'!H36</f>
        <v>6750</v>
      </c>
      <c r="D36" s="2">
        <f t="shared" si="0"/>
        <v>0</v>
      </c>
      <c r="E36" s="2">
        <v>0.05</v>
      </c>
      <c r="F36" s="2" t="str">
        <f t="shared" si="1"/>
        <v>MATCHED</v>
      </c>
    </row>
    <row r="37" spans="1:6" x14ac:dyDescent="0.4">
      <c r="A37" s="2" t="str">
        <f>'02_Formula_Repair_Engine'!A37</f>
        <v>TXN-1036</v>
      </c>
      <c r="B37" s="2">
        <f>'02_Formula_Repair_Engine'!G37</f>
        <v>14720</v>
      </c>
      <c r="C37" s="2">
        <f>'01_Corrupted_General_Ledger'!H37</f>
        <v>14720</v>
      </c>
      <c r="D37" s="2">
        <f t="shared" si="0"/>
        <v>0</v>
      </c>
      <c r="E37" s="2">
        <v>0.05</v>
      </c>
      <c r="F37" s="2" t="str">
        <f t="shared" si="1"/>
        <v>MATCHED</v>
      </c>
    </row>
    <row r="38" spans="1:6" x14ac:dyDescent="0.4">
      <c r="A38" s="2" t="str">
        <f>'02_Formula_Repair_Engine'!A38</f>
        <v>TXN-1037</v>
      </c>
      <c r="B38" s="2">
        <f>'02_Formula_Repair_Engine'!G38</f>
        <v>0</v>
      </c>
      <c r="C38" s="2">
        <f>'01_Corrupted_General_Ledger'!H38</f>
        <v>0</v>
      </c>
      <c r="D38" s="2">
        <f t="shared" si="0"/>
        <v>0</v>
      </c>
      <c r="E38" s="2">
        <v>0.05</v>
      </c>
      <c r="F38" s="2" t="str">
        <f t="shared" si="1"/>
        <v>MATCHED</v>
      </c>
    </row>
    <row r="39" spans="1:6" x14ac:dyDescent="0.4">
      <c r="A39" s="2" t="str">
        <f>'02_Formula_Repair_Engine'!A39</f>
        <v>TXN-1038</v>
      </c>
      <c r="B39" s="2">
        <f>'02_Formula_Repair_Engine'!G39</f>
        <v>13175</v>
      </c>
      <c r="C39" s="2">
        <f>'01_Corrupted_General_Ledger'!H39</f>
        <v>13175</v>
      </c>
      <c r="D39" s="2">
        <f t="shared" si="0"/>
        <v>0</v>
      </c>
      <c r="E39" s="2">
        <v>0.05</v>
      </c>
      <c r="F39" s="2" t="str">
        <f t="shared" si="1"/>
        <v>MATCHED</v>
      </c>
    </row>
    <row r="40" spans="1:6" x14ac:dyDescent="0.4">
      <c r="A40" s="2" t="str">
        <f>'02_Formula_Repair_Engine'!A40</f>
        <v>TXN-1039</v>
      </c>
      <c r="B40" s="2">
        <f>'02_Formula_Repair_Engine'!G40</f>
        <v>9660</v>
      </c>
      <c r="C40" s="2">
        <f>'01_Corrupted_General_Ledger'!H40</f>
        <v>9660</v>
      </c>
      <c r="D40" s="2">
        <f t="shared" si="0"/>
        <v>0</v>
      </c>
      <c r="E40" s="2">
        <v>0.05</v>
      </c>
      <c r="F40" s="2" t="str">
        <f t="shared" si="1"/>
        <v>MATCHED</v>
      </c>
    </row>
    <row r="41" spans="1:6" x14ac:dyDescent="0.4">
      <c r="A41" s="2" t="str">
        <f>'02_Formula_Repair_Engine'!A41</f>
        <v>TXN-1040</v>
      </c>
      <c r="B41" s="2">
        <f>'02_Formula_Repair_Engine'!G41</f>
        <v>0</v>
      </c>
      <c r="C41" s="2">
        <f>'01_Corrupted_General_Ledger'!H41</f>
        <v>5000</v>
      </c>
      <c r="D41" s="2">
        <f t="shared" si="0"/>
        <v>5000</v>
      </c>
      <c r="E41" s="2">
        <v>0.05</v>
      </c>
      <c r="F41" s="2" t="str">
        <f t="shared" si="1"/>
        <v>VARIANCE DETECTED</v>
      </c>
    </row>
    <row r="42" spans="1:6" x14ac:dyDescent="0.4">
      <c r="A42" s="2" t="str">
        <f>'02_Formula_Repair_Engine'!A42</f>
        <v>TXN-1041</v>
      </c>
      <c r="B42" s="2">
        <f>'02_Formula_Repair_Engine'!G42</f>
        <v>68</v>
      </c>
      <c r="C42" s="2">
        <f>'01_Corrupted_General_Ledger'!H42</f>
        <v>3400</v>
      </c>
      <c r="D42" s="2">
        <f t="shared" si="0"/>
        <v>3332</v>
      </c>
      <c r="E42" s="2">
        <v>0.05</v>
      </c>
      <c r="F42" s="2" t="str">
        <f t="shared" si="1"/>
        <v>VARIANCE DETECTED</v>
      </c>
    </row>
    <row r="43" spans="1:6" x14ac:dyDescent="0.4">
      <c r="A43" s="2" t="str">
        <f>'02_Formula_Repair_Engine'!A43</f>
        <v>TXN-1042</v>
      </c>
      <c r="B43" s="2">
        <f>'02_Formula_Repair_Engine'!G43</f>
        <v>8360</v>
      </c>
      <c r="C43" s="2">
        <f>'01_Corrupted_General_Ledger'!H43</f>
        <v>8360</v>
      </c>
      <c r="D43" s="2">
        <f t="shared" si="0"/>
        <v>0</v>
      </c>
      <c r="E43" s="2">
        <v>0.05</v>
      </c>
      <c r="F43" s="2" t="str">
        <f t="shared" si="1"/>
        <v>MATCHED</v>
      </c>
    </row>
    <row r="44" spans="1:6" x14ac:dyDescent="0.4">
      <c r="A44" s="2" t="str">
        <f>'02_Formula_Repair_Engine'!A44</f>
        <v>TXN-1043</v>
      </c>
      <c r="B44" s="2">
        <f>'02_Formula_Repair_Engine'!G44</f>
        <v>26400</v>
      </c>
      <c r="C44" s="2">
        <f>'01_Corrupted_General_Ledger'!H44</f>
        <v>26400</v>
      </c>
      <c r="D44" s="2">
        <f t="shared" si="0"/>
        <v>0</v>
      </c>
      <c r="E44" s="2">
        <v>0.05</v>
      </c>
      <c r="F44" s="2" t="str">
        <f t="shared" si="1"/>
        <v>MATCHED</v>
      </c>
    </row>
    <row r="45" spans="1:6" x14ac:dyDescent="0.4">
      <c r="A45" s="2" t="str">
        <f>'02_Formula_Repair_Engine'!A45</f>
        <v>TXN-1044</v>
      </c>
      <c r="B45" s="2">
        <f>'02_Formula_Repair_Engine'!G45</f>
        <v>0</v>
      </c>
      <c r="C45" s="2">
        <f>'01_Corrupted_General_Ledger'!H45</f>
        <v>0</v>
      </c>
      <c r="D45" s="2">
        <f t="shared" si="0"/>
        <v>0</v>
      </c>
      <c r="E45" s="2">
        <v>0.05</v>
      </c>
      <c r="F45" s="2" t="str">
        <f t="shared" si="1"/>
        <v>MATCHED</v>
      </c>
    </row>
    <row r="46" spans="1:6" x14ac:dyDescent="0.4">
      <c r="A46" s="2" t="str">
        <f>'02_Formula_Repair_Engine'!A46</f>
        <v>TXN-1045</v>
      </c>
      <c r="B46" s="2">
        <f>'02_Formula_Repair_Engine'!G46</f>
        <v>7500</v>
      </c>
      <c r="C46" s="2">
        <f>'01_Corrupted_General_Ledger'!H46</f>
        <v>7500</v>
      </c>
      <c r="D46" s="2">
        <f t="shared" si="0"/>
        <v>0</v>
      </c>
      <c r="E46" s="2">
        <v>0.05</v>
      </c>
      <c r="F46" s="2" t="str">
        <f t="shared" si="1"/>
        <v>MATCHED</v>
      </c>
    </row>
    <row r="47" spans="1:6" x14ac:dyDescent="0.4">
      <c r="A47" s="2" t="str">
        <f>'02_Formula_Repair_Engine'!A47</f>
        <v>TXN-1046</v>
      </c>
      <c r="B47" s="2">
        <f>'02_Formula_Repair_Engine'!G47</f>
        <v>6720</v>
      </c>
      <c r="C47" s="2">
        <f>'01_Corrupted_General_Ledger'!H47</f>
        <v>6720</v>
      </c>
      <c r="D47" s="2">
        <f t="shared" si="0"/>
        <v>0</v>
      </c>
      <c r="E47" s="2">
        <v>0.05</v>
      </c>
      <c r="F47" s="2" t="str">
        <f t="shared" si="1"/>
        <v>MATCHED</v>
      </c>
    </row>
    <row r="48" spans="1:6" x14ac:dyDescent="0.4">
      <c r="A48" s="2" t="str">
        <f>'02_Formula_Repair_Engine'!A48</f>
        <v>TXN-1047</v>
      </c>
      <c r="B48" s="2">
        <f>'02_Formula_Repair_Engine'!G48</f>
        <v>0</v>
      </c>
      <c r="C48" s="2">
        <f>'01_Corrupted_General_Ledger'!H48</f>
        <v>4500</v>
      </c>
      <c r="D48" s="2">
        <f t="shared" si="0"/>
        <v>4500</v>
      </c>
      <c r="E48" s="2">
        <v>0.05</v>
      </c>
      <c r="F48" s="2" t="str">
        <f t="shared" si="1"/>
        <v>VARIANCE DETECTED</v>
      </c>
    </row>
    <row r="49" spans="1:6" x14ac:dyDescent="0.4">
      <c r="A49" s="2" t="str">
        <f>'02_Formula_Repair_Engine'!A49</f>
        <v>TXN-1048</v>
      </c>
      <c r="B49" s="2">
        <f>'02_Formula_Repair_Engine'!G49</f>
        <v>14400</v>
      </c>
      <c r="C49" s="2">
        <f>'01_Corrupted_General_Ledger'!H49</f>
        <v>14400</v>
      </c>
      <c r="D49" s="2">
        <f t="shared" si="0"/>
        <v>0</v>
      </c>
      <c r="E49" s="2">
        <v>0.05</v>
      </c>
      <c r="F49" s="2" t="str">
        <f t="shared" si="1"/>
        <v>MATCHED</v>
      </c>
    </row>
    <row r="50" spans="1:6" x14ac:dyDescent="0.4">
      <c r="A50" s="2" t="str">
        <f>'02_Formula_Repair_Engine'!A50</f>
        <v>TXN-1049</v>
      </c>
      <c r="B50" s="2">
        <f>'02_Formula_Repair_Engine'!G50</f>
        <v>120</v>
      </c>
      <c r="C50" s="2">
        <f>'01_Corrupted_General_Ledger'!H50</f>
        <v>6000</v>
      </c>
      <c r="D50" s="2">
        <f t="shared" si="0"/>
        <v>5880</v>
      </c>
      <c r="E50" s="2">
        <v>0.05</v>
      </c>
      <c r="F50" s="2" t="str">
        <f t="shared" si="1"/>
        <v>VARIANCE DETECTED</v>
      </c>
    </row>
    <row r="51" spans="1:6" x14ac:dyDescent="0.4">
      <c r="A51" s="2" t="str">
        <f>'02_Formula_Repair_Engine'!A51</f>
        <v>TXN-1050</v>
      </c>
      <c r="B51" s="2">
        <f>'02_Formula_Repair_Engine'!G51</f>
        <v>15300</v>
      </c>
      <c r="C51" s="2">
        <f>'01_Corrupted_General_Ledger'!H51</f>
        <v>15300</v>
      </c>
      <c r="D51" s="2">
        <f t="shared" si="0"/>
        <v>0</v>
      </c>
      <c r="E51" s="2">
        <v>0.05</v>
      </c>
      <c r="F51" s="2" t="str">
        <f t="shared" si="1"/>
        <v>MATCHED</v>
      </c>
    </row>
    <row r="52" spans="1:6" x14ac:dyDescent="0.4">
      <c r="A52" s="2" t="str">
        <f>'02_Formula_Repair_Engine'!A52</f>
        <v>TXN-1051</v>
      </c>
      <c r="B52" s="2">
        <f>'02_Formula_Repair_Engine'!G52</f>
        <v>6240</v>
      </c>
      <c r="C52" s="2">
        <f>'01_Corrupted_General_Ledger'!H52</f>
        <v>6240</v>
      </c>
      <c r="D52" s="2">
        <f t="shared" si="0"/>
        <v>0</v>
      </c>
      <c r="E52" s="2">
        <v>0.05</v>
      </c>
      <c r="F52" s="2" t="str">
        <f t="shared" si="1"/>
        <v>MATCHED</v>
      </c>
    </row>
    <row r="53" spans="1:6" x14ac:dyDescent="0.4">
      <c r="A53" s="2" t="str">
        <f>'02_Formula_Repair_Engine'!A53</f>
        <v>TXN-1052</v>
      </c>
      <c r="B53" s="2">
        <f>'02_Formula_Repair_Engine'!G53</f>
        <v>0</v>
      </c>
      <c r="C53" s="2">
        <f>'01_Corrupted_General_Ledger'!H53</f>
        <v>3000</v>
      </c>
      <c r="D53" s="2">
        <f t="shared" si="0"/>
        <v>3000</v>
      </c>
      <c r="E53" s="2">
        <v>0.05</v>
      </c>
      <c r="F53" s="2" t="str">
        <f t="shared" si="1"/>
        <v>VARIANCE DETECTED</v>
      </c>
    </row>
    <row r="54" spans="1:6" x14ac:dyDescent="0.4">
      <c r="A54" s="2" t="str">
        <f>'02_Formula_Repair_Engine'!A54</f>
        <v>TXN-1053</v>
      </c>
      <c r="B54" s="2">
        <f>'02_Formula_Repair_Engine'!G54</f>
        <v>0</v>
      </c>
      <c r="C54" s="2">
        <f>'01_Corrupted_General_Ledger'!H54</f>
        <v>0</v>
      </c>
      <c r="D54" s="2">
        <f t="shared" si="0"/>
        <v>0</v>
      </c>
      <c r="E54" s="2">
        <v>0.05</v>
      </c>
      <c r="F54" s="2" t="str">
        <f t="shared" si="1"/>
        <v>MATCHED</v>
      </c>
    </row>
    <row r="55" spans="1:6" x14ac:dyDescent="0.4">
      <c r="A55" s="2" t="str">
        <f>'02_Formula_Repair_Engine'!A55</f>
        <v>TXN-1054</v>
      </c>
      <c r="B55" s="2">
        <f>'02_Formula_Repair_Engine'!G55</f>
        <v>3040</v>
      </c>
      <c r="C55" s="2">
        <f>'01_Corrupted_General_Ledger'!H55</f>
        <v>3040</v>
      </c>
      <c r="D55" s="2">
        <f t="shared" si="0"/>
        <v>0</v>
      </c>
      <c r="E55" s="2">
        <v>0.05</v>
      </c>
      <c r="F55" s="2" t="str">
        <f t="shared" si="1"/>
        <v>MATCHED</v>
      </c>
    </row>
    <row r="56" spans="1:6" x14ac:dyDescent="0.4">
      <c r="A56" s="2" t="str">
        <f>'02_Formula_Repair_Engine'!A56</f>
        <v>TXN-1055</v>
      </c>
      <c r="B56" s="2">
        <f>'02_Formula_Repair_Engine'!G56</f>
        <v>19200</v>
      </c>
      <c r="C56" s="2">
        <f>'01_Corrupted_General_Ledger'!H56</f>
        <v>19200</v>
      </c>
      <c r="D56" s="2">
        <f t="shared" si="0"/>
        <v>0</v>
      </c>
      <c r="E56" s="2">
        <v>0.05</v>
      </c>
      <c r="F56" s="2" t="str">
        <f t="shared" si="1"/>
        <v>MATCHED</v>
      </c>
    </row>
    <row r="57" spans="1:6" x14ac:dyDescent="0.4">
      <c r="A57" s="2" t="str">
        <f>'02_Formula_Repair_Engine'!A57</f>
        <v>TXN-1056</v>
      </c>
      <c r="B57" s="2">
        <f>'02_Formula_Repair_Engine'!G57</f>
        <v>70</v>
      </c>
      <c r="C57" s="2">
        <f>'01_Corrupted_General_Ledger'!H57</f>
        <v>1750</v>
      </c>
      <c r="D57" s="2">
        <f t="shared" si="0"/>
        <v>1680</v>
      </c>
      <c r="E57" s="2">
        <v>0.05</v>
      </c>
      <c r="F57" s="2" t="str">
        <f t="shared" si="1"/>
        <v>VARIANCE DETECTED</v>
      </c>
    </row>
    <row r="58" spans="1:6" x14ac:dyDescent="0.4">
      <c r="A58" s="2" t="str">
        <f>'02_Formula_Repair_Engine'!A58</f>
        <v>TXN-1057</v>
      </c>
      <c r="B58" s="2">
        <f>'02_Formula_Repair_Engine'!G58</f>
        <v>8500</v>
      </c>
      <c r="C58" s="2">
        <f>'01_Corrupted_General_Ledger'!H58</f>
        <v>8500</v>
      </c>
      <c r="D58" s="2">
        <f t="shared" si="0"/>
        <v>0</v>
      </c>
      <c r="E58" s="2">
        <v>0.05</v>
      </c>
      <c r="F58" s="2" t="str">
        <f t="shared" si="1"/>
        <v>MATCHED</v>
      </c>
    </row>
    <row r="59" spans="1:6" x14ac:dyDescent="0.4">
      <c r="A59" s="2" t="str">
        <f>'02_Formula_Repair_Engine'!A59</f>
        <v>TXN-1058</v>
      </c>
      <c r="B59" s="2">
        <f>'02_Formula_Repair_Engine'!G59</f>
        <v>0</v>
      </c>
      <c r="C59" s="2">
        <f>'01_Corrupted_General_Ledger'!H59</f>
        <v>0</v>
      </c>
      <c r="D59" s="2">
        <f t="shared" si="0"/>
        <v>0</v>
      </c>
      <c r="E59" s="2">
        <v>0.05</v>
      </c>
      <c r="F59" s="2" t="str">
        <f t="shared" si="1"/>
        <v>MATCHED</v>
      </c>
    </row>
    <row r="60" spans="1:6" x14ac:dyDescent="0.4">
      <c r="A60" s="2" t="str">
        <f>'02_Formula_Repair_Engine'!A60</f>
        <v>TXN-1059</v>
      </c>
      <c r="B60" s="2">
        <f>'02_Formula_Repair_Engine'!G60</f>
        <v>0</v>
      </c>
      <c r="C60" s="2">
        <f>'01_Corrupted_General_Ledger'!H60</f>
        <v>1600</v>
      </c>
      <c r="D60" s="2">
        <f t="shared" si="0"/>
        <v>1600</v>
      </c>
      <c r="E60" s="2">
        <v>0.05</v>
      </c>
      <c r="F60" s="2" t="str">
        <f t="shared" si="1"/>
        <v>VARIANCE DETECTED</v>
      </c>
    </row>
    <row r="61" spans="1:6" x14ac:dyDescent="0.4">
      <c r="A61" s="2" t="str">
        <f>'02_Formula_Repair_Engine'!A61</f>
        <v>TXN-1060</v>
      </c>
      <c r="B61" s="2">
        <f>'02_Formula_Repair_Engine'!G61</f>
        <v>4830</v>
      </c>
      <c r="C61" s="2">
        <f>'01_Corrupted_General_Ledger'!H61</f>
        <v>4830</v>
      </c>
      <c r="D61" s="2">
        <f t="shared" si="0"/>
        <v>0</v>
      </c>
      <c r="E61" s="2">
        <v>0.05</v>
      </c>
      <c r="F61" s="2" t="str">
        <f t="shared" si="1"/>
        <v>MATCHED</v>
      </c>
    </row>
    <row r="62" spans="1:6" x14ac:dyDescent="0.4">
      <c r="A62" s="2" t="str">
        <f>'02_Formula_Repair_Engine'!A62</f>
        <v>TXN-1061</v>
      </c>
      <c r="B62" s="2">
        <f>'02_Formula_Repair_Engine'!G62</f>
        <v>14250</v>
      </c>
      <c r="C62" s="2">
        <f>'01_Corrupted_General_Ledger'!H62</f>
        <v>14250</v>
      </c>
      <c r="D62" s="2">
        <f t="shared" si="0"/>
        <v>0</v>
      </c>
      <c r="E62" s="2">
        <v>0.05</v>
      </c>
      <c r="F62" s="2" t="str">
        <f t="shared" si="1"/>
        <v>MATCHED</v>
      </c>
    </row>
    <row r="63" spans="1:6" x14ac:dyDescent="0.4">
      <c r="A63" s="2" t="str">
        <f>'02_Formula_Repair_Engine'!A63</f>
        <v>TXN-1062</v>
      </c>
      <c r="B63" s="2">
        <f>'02_Formula_Repair_Engine'!G63</f>
        <v>0</v>
      </c>
      <c r="C63" s="2">
        <f>'01_Corrupted_General_Ledger'!H63</f>
        <v>0</v>
      </c>
      <c r="D63" s="2">
        <f t="shared" si="0"/>
        <v>0</v>
      </c>
      <c r="E63" s="2">
        <v>0.05</v>
      </c>
      <c r="F63" s="2" t="str">
        <f t="shared" si="1"/>
        <v>MATCHED</v>
      </c>
    </row>
    <row r="64" spans="1:6" x14ac:dyDescent="0.4">
      <c r="A64" s="2" t="str">
        <f>'02_Formula_Repair_Engine'!A64</f>
        <v>TXN-1063</v>
      </c>
      <c r="B64" s="2">
        <f>'02_Formula_Repair_Engine'!G64</f>
        <v>10800</v>
      </c>
      <c r="C64" s="2">
        <f>'01_Corrupted_General_Ledger'!H64</f>
        <v>10800</v>
      </c>
      <c r="D64" s="2">
        <f t="shared" si="0"/>
        <v>0</v>
      </c>
      <c r="E64" s="2">
        <v>0.05</v>
      </c>
      <c r="F64" s="2" t="str">
        <f t="shared" si="1"/>
        <v>MATCHED</v>
      </c>
    </row>
    <row r="65" spans="1:6" x14ac:dyDescent="0.4">
      <c r="A65" s="2" t="str">
        <f>'02_Formula_Repair_Engine'!A65</f>
        <v>TXN-1064</v>
      </c>
      <c r="B65" s="2">
        <f>'02_Formula_Repair_Engine'!G65</f>
        <v>6720</v>
      </c>
      <c r="C65" s="2">
        <f>'01_Corrupted_General_Ledger'!H65</f>
        <v>6720</v>
      </c>
      <c r="D65" s="2">
        <f t="shared" si="0"/>
        <v>0</v>
      </c>
      <c r="E65" s="2">
        <v>0.05</v>
      </c>
      <c r="F65" s="2" t="str">
        <f t="shared" si="1"/>
        <v>MATCHED</v>
      </c>
    </row>
    <row r="66" spans="1:6" x14ac:dyDescent="0.4">
      <c r="A66" s="2" t="str">
        <f>'02_Formula_Repair_Engine'!A66</f>
        <v>TXN-1065</v>
      </c>
      <c r="B66" s="2">
        <f>'02_Formula_Repair_Engine'!G66</f>
        <v>0</v>
      </c>
      <c r="C66" s="2">
        <f>'01_Corrupted_General_Ledger'!H66</f>
        <v>5250</v>
      </c>
      <c r="D66" s="2">
        <f t="shared" si="0"/>
        <v>5250</v>
      </c>
      <c r="E66" s="2">
        <v>0.05</v>
      </c>
      <c r="F66" s="2" t="str">
        <f t="shared" si="1"/>
        <v>VARIANCE DETECTED</v>
      </c>
    </row>
    <row r="67" spans="1:6" x14ac:dyDescent="0.4">
      <c r="A67" s="2" t="str">
        <f>'02_Formula_Repair_Engine'!A67</f>
        <v>TXN-1066</v>
      </c>
      <c r="B67" s="2">
        <f>'02_Formula_Repair_Engine'!G67</f>
        <v>65</v>
      </c>
      <c r="C67" s="2">
        <f>'01_Corrupted_General_Ledger'!H67</f>
        <v>3250</v>
      </c>
      <c r="D67" s="2">
        <f t="shared" ref="D67:D101" si="2">ABS(B67-C67)</f>
        <v>3185</v>
      </c>
      <c r="E67" s="2">
        <v>0.05</v>
      </c>
      <c r="F67" s="2" t="str">
        <f t="shared" ref="F67:F101" si="3">IF(D67&lt;=E67, "MATCHED", "VARIANCE DETECTED")</f>
        <v>VARIANCE DETECTED</v>
      </c>
    </row>
    <row r="68" spans="1:6" x14ac:dyDescent="0.4">
      <c r="A68" s="2" t="str">
        <f>'02_Formula_Repair_Engine'!A68</f>
        <v>TXN-1067</v>
      </c>
      <c r="B68" s="2">
        <f>'02_Formula_Repair_Engine'!G68</f>
        <v>7410</v>
      </c>
      <c r="C68" s="2">
        <f>'01_Corrupted_General_Ledger'!H68</f>
        <v>7410</v>
      </c>
      <c r="D68" s="2">
        <f t="shared" si="2"/>
        <v>0</v>
      </c>
      <c r="E68" s="2">
        <v>0.05</v>
      </c>
      <c r="F68" s="2" t="str">
        <f t="shared" si="3"/>
        <v>MATCHED</v>
      </c>
    </row>
    <row r="69" spans="1:6" x14ac:dyDescent="0.4">
      <c r="A69" s="2" t="str">
        <f>'02_Formula_Repair_Engine'!A69</f>
        <v>TXN-1068</v>
      </c>
      <c r="B69" s="2">
        <f>'02_Formula_Repair_Engine'!G69</f>
        <v>21000</v>
      </c>
      <c r="C69" s="2">
        <f>'01_Corrupted_General_Ledger'!H69</f>
        <v>21000</v>
      </c>
      <c r="D69" s="2">
        <f t="shared" si="2"/>
        <v>0</v>
      </c>
      <c r="E69" s="2">
        <v>0.05</v>
      </c>
      <c r="F69" s="2" t="str">
        <f t="shared" si="3"/>
        <v>MATCHED</v>
      </c>
    </row>
    <row r="70" spans="1:6" x14ac:dyDescent="0.4">
      <c r="A70" s="2" t="str">
        <f>'02_Formula_Repair_Engine'!A70</f>
        <v>TXN-1069</v>
      </c>
      <c r="B70" s="2">
        <f>'02_Formula_Repair_Engine'!G70</f>
        <v>0</v>
      </c>
      <c r="C70" s="2">
        <f>'01_Corrupted_General_Ledger'!H70</f>
        <v>0</v>
      </c>
      <c r="D70" s="2">
        <f t="shared" si="2"/>
        <v>0</v>
      </c>
      <c r="E70" s="2">
        <v>0.05</v>
      </c>
      <c r="F70" s="2" t="str">
        <f t="shared" si="3"/>
        <v>MATCHED</v>
      </c>
    </row>
    <row r="71" spans="1:6" x14ac:dyDescent="0.4">
      <c r="A71" s="2" t="str">
        <f>'02_Formula_Repair_Engine'!A71</f>
        <v>TXN-1070</v>
      </c>
      <c r="B71" s="2">
        <f>'02_Formula_Repair_Engine'!G71</f>
        <v>6670</v>
      </c>
      <c r="C71" s="2">
        <f>'01_Corrupted_General_Ledger'!H71</f>
        <v>6670</v>
      </c>
      <c r="D71" s="2">
        <f t="shared" si="2"/>
        <v>0</v>
      </c>
      <c r="E71" s="2">
        <v>0.05</v>
      </c>
      <c r="F71" s="2" t="str">
        <f t="shared" si="3"/>
        <v>MATCHED</v>
      </c>
    </row>
    <row r="72" spans="1:6" x14ac:dyDescent="0.4">
      <c r="A72" s="2" t="str">
        <f>'02_Formula_Repair_Engine'!A72</f>
        <v>TXN-1071</v>
      </c>
      <c r="B72" s="2">
        <f>'02_Formula_Repair_Engine'!G72</f>
        <v>5980</v>
      </c>
      <c r="C72" s="2">
        <f>'01_Corrupted_General_Ledger'!H72</f>
        <v>5980</v>
      </c>
      <c r="D72" s="2">
        <f t="shared" si="2"/>
        <v>0</v>
      </c>
      <c r="E72" s="2">
        <v>0.05</v>
      </c>
      <c r="F72" s="2" t="str">
        <f t="shared" si="3"/>
        <v>MATCHED</v>
      </c>
    </row>
    <row r="73" spans="1:6" x14ac:dyDescent="0.4">
      <c r="A73" s="2" t="str">
        <f>'02_Formula_Repair_Engine'!A73</f>
        <v>TXN-1072</v>
      </c>
      <c r="B73" s="2">
        <f>'02_Formula_Repair_Engine'!G73</f>
        <v>0</v>
      </c>
      <c r="C73" s="2">
        <f>'01_Corrupted_General_Ledger'!H73</f>
        <v>4250</v>
      </c>
      <c r="D73" s="2">
        <f t="shared" si="2"/>
        <v>4250</v>
      </c>
      <c r="E73" s="2">
        <v>0.05</v>
      </c>
      <c r="F73" s="2" t="str">
        <f t="shared" si="3"/>
        <v>VARIANCE DETECTED</v>
      </c>
    </row>
    <row r="74" spans="1:6" x14ac:dyDescent="0.4">
      <c r="A74" s="2" t="str">
        <f>'02_Formula_Repair_Engine'!A74</f>
        <v>TXN-1073</v>
      </c>
      <c r="B74" s="2">
        <f>'02_Formula_Repair_Engine'!G74</f>
        <v>12760</v>
      </c>
      <c r="C74" s="2">
        <f>'01_Corrupted_General_Ledger'!H74</f>
        <v>12760</v>
      </c>
      <c r="D74" s="2">
        <f t="shared" si="2"/>
        <v>0</v>
      </c>
      <c r="E74" s="2">
        <v>0.05</v>
      </c>
      <c r="F74" s="2" t="str">
        <f t="shared" si="3"/>
        <v>MATCHED</v>
      </c>
    </row>
    <row r="75" spans="1:6" x14ac:dyDescent="0.4">
      <c r="A75" s="2" t="str">
        <f>'02_Formula_Repair_Engine'!A75</f>
        <v>TXN-1074</v>
      </c>
      <c r="B75" s="2">
        <f>'02_Formula_Repair_Engine'!G75</f>
        <v>110</v>
      </c>
      <c r="C75" s="2">
        <f>'01_Corrupted_General_Ledger'!H75</f>
        <v>5500</v>
      </c>
      <c r="D75" s="2">
        <f t="shared" si="2"/>
        <v>5390</v>
      </c>
      <c r="E75" s="2">
        <v>0.05</v>
      </c>
      <c r="F75" s="2" t="str">
        <f t="shared" si="3"/>
        <v>VARIANCE DETECTED</v>
      </c>
    </row>
    <row r="76" spans="1:6" x14ac:dyDescent="0.4">
      <c r="A76" s="2" t="str">
        <f>'02_Formula_Repair_Engine'!A76</f>
        <v>TXN-1075</v>
      </c>
      <c r="B76" s="2">
        <f>'02_Formula_Repair_Engine'!G76</f>
        <v>13120</v>
      </c>
      <c r="C76" s="2">
        <f>'01_Corrupted_General_Ledger'!H76</f>
        <v>13120</v>
      </c>
      <c r="D76" s="2">
        <f t="shared" si="2"/>
        <v>0</v>
      </c>
      <c r="E76" s="2">
        <v>0.05</v>
      </c>
      <c r="F76" s="2" t="str">
        <f t="shared" si="3"/>
        <v>MATCHED</v>
      </c>
    </row>
    <row r="77" spans="1:6" x14ac:dyDescent="0.4">
      <c r="A77" s="2" t="str">
        <f>'02_Formula_Repair_Engine'!A77</f>
        <v>TXN-1076</v>
      </c>
      <c r="B77" s="2">
        <f>'02_Formula_Repair_Engine'!G77</f>
        <v>6500</v>
      </c>
      <c r="C77" s="2">
        <f>'01_Corrupted_General_Ledger'!H77</f>
        <v>6500</v>
      </c>
      <c r="D77" s="2">
        <f t="shared" si="2"/>
        <v>0</v>
      </c>
      <c r="E77" s="2">
        <v>0.05</v>
      </c>
      <c r="F77" s="2" t="str">
        <f t="shared" si="3"/>
        <v>MATCHED</v>
      </c>
    </row>
    <row r="78" spans="1:6" x14ac:dyDescent="0.4">
      <c r="A78" s="2" t="str">
        <f>'02_Formula_Repair_Engine'!A78</f>
        <v>TXN-1077</v>
      </c>
      <c r="B78" s="2">
        <f>'02_Formula_Repair_Engine'!G78</f>
        <v>0</v>
      </c>
      <c r="C78" s="2">
        <f>'01_Corrupted_General_Ledger'!H78</f>
        <v>2800</v>
      </c>
      <c r="D78" s="2">
        <f t="shared" si="2"/>
        <v>2800</v>
      </c>
      <c r="E78" s="2">
        <v>0.05</v>
      </c>
      <c r="F78" s="2" t="str">
        <f t="shared" si="3"/>
        <v>VARIANCE DETECTED</v>
      </c>
    </row>
    <row r="79" spans="1:6" x14ac:dyDescent="0.4">
      <c r="A79" s="2" t="str">
        <f>'02_Formula_Repair_Engine'!A79</f>
        <v>TXN-1078</v>
      </c>
      <c r="B79" s="2">
        <f>'02_Formula_Repair_Engine'!G79</f>
        <v>0</v>
      </c>
      <c r="C79" s="2">
        <f>'01_Corrupted_General_Ledger'!H79</f>
        <v>0</v>
      </c>
      <c r="D79" s="2">
        <f t="shared" si="2"/>
        <v>0</v>
      </c>
      <c r="E79" s="2">
        <v>0.05</v>
      </c>
      <c r="F79" s="2" t="str">
        <f t="shared" si="3"/>
        <v>MATCHED</v>
      </c>
    </row>
    <row r="80" spans="1:6" x14ac:dyDescent="0.4">
      <c r="A80" s="2" t="str">
        <f>'02_Formula_Repair_Engine'!A80</f>
        <v>TXN-1079</v>
      </c>
      <c r="B80" s="2">
        <f>'02_Formula_Repair_Engine'!G80</f>
        <v>3500</v>
      </c>
      <c r="C80" s="2">
        <f>'01_Corrupted_General_Ledger'!H80</f>
        <v>3500</v>
      </c>
      <c r="D80" s="2">
        <f t="shared" si="2"/>
        <v>0</v>
      </c>
      <c r="E80" s="2">
        <v>0.05</v>
      </c>
      <c r="F80" s="2" t="str">
        <f t="shared" si="3"/>
        <v>MATCHED</v>
      </c>
    </row>
    <row r="81" spans="1:6" x14ac:dyDescent="0.4">
      <c r="A81" s="2" t="str">
        <f>'02_Formula_Repair_Engine'!A81</f>
        <v>TXN-1080</v>
      </c>
      <c r="B81" s="2">
        <f>'02_Formula_Repair_Engine'!G81</f>
        <v>15000</v>
      </c>
      <c r="C81" s="2">
        <f>'01_Corrupted_General_Ledger'!H81</f>
        <v>15000</v>
      </c>
      <c r="D81" s="2">
        <f t="shared" si="2"/>
        <v>0</v>
      </c>
      <c r="E81" s="2">
        <v>0.05</v>
      </c>
      <c r="F81" s="2" t="str">
        <f t="shared" si="3"/>
        <v>MATCHED</v>
      </c>
    </row>
    <row r="82" spans="1:6" x14ac:dyDescent="0.4">
      <c r="A82" s="2" t="str">
        <f>'02_Formula_Repair_Engine'!A82</f>
        <v>TXN-1081</v>
      </c>
      <c r="B82" s="2">
        <f>'02_Formula_Repair_Engine'!G82</f>
        <v>75</v>
      </c>
      <c r="C82" s="2">
        <f>'01_Corrupted_General_Ledger'!H82</f>
        <v>1875</v>
      </c>
      <c r="D82" s="2">
        <f t="shared" si="2"/>
        <v>1800</v>
      </c>
      <c r="E82" s="2">
        <v>0.05</v>
      </c>
      <c r="F82" s="2" t="str">
        <f t="shared" si="3"/>
        <v>VARIANCE DETECTED</v>
      </c>
    </row>
    <row r="83" spans="1:6" x14ac:dyDescent="0.4">
      <c r="A83" s="2" t="str">
        <f>'02_Formula_Repair_Engine'!A83</f>
        <v>TXN-1082</v>
      </c>
      <c r="B83" s="2">
        <f>'02_Formula_Repair_Engine'!G83</f>
        <v>10290</v>
      </c>
      <c r="C83" s="2">
        <f>'01_Corrupted_General_Ledger'!H83</f>
        <v>10290</v>
      </c>
      <c r="D83" s="2">
        <f t="shared" si="2"/>
        <v>0</v>
      </c>
      <c r="E83" s="2">
        <v>0.05</v>
      </c>
      <c r="F83" s="2" t="str">
        <f t="shared" si="3"/>
        <v>MATCHED</v>
      </c>
    </row>
    <row r="84" spans="1:6" x14ac:dyDescent="0.4">
      <c r="A84" s="2" t="str">
        <f>'02_Formula_Repair_Engine'!A84</f>
        <v>TXN-1083</v>
      </c>
      <c r="B84" s="2">
        <f>'02_Formula_Repair_Engine'!G84</f>
        <v>0</v>
      </c>
      <c r="C84" s="2">
        <f>'01_Corrupted_General_Ledger'!H84</f>
        <v>0</v>
      </c>
      <c r="D84" s="2">
        <f t="shared" si="2"/>
        <v>0</v>
      </c>
      <c r="E84" s="2">
        <v>0.05</v>
      </c>
      <c r="F84" s="2" t="str">
        <f t="shared" si="3"/>
        <v>MATCHED</v>
      </c>
    </row>
    <row r="85" spans="1:6" x14ac:dyDescent="0.4">
      <c r="A85" s="2" t="str">
        <f>'02_Formula_Repair_Engine'!A85</f>
        <v>TXN-1084</v>
      </c>
      <c r="B85" s="2">
        <f>'02_Formula_Repair_Engine'!G85</f>
        <v>0</v>
      </c>
      <c r="C85" s="2">
        <f>'01_Corrupted_General_Ledger'!H85</f>
        <v>2025</v>
      </c>
      <c r="D85" s="2">
        <f t="shared" si="2"/>
        <v>2025</v>
      </c>
      <c r="E85" s="2">
        <v>0.05</v>
      </c>
      <c r="F85" s="2" t="str">
        <f t="shared" si="3"/>
        <v>VARIANCE DETECTED</v>
      </c>
    </row>
    <row r="86" spans="1:6" x14ac:dyDescent="0.4">
      <c r="A86" s="2" t="str">
        <f>'02_Formula_Repair_Engine'!A86</f>
        <v>TXN-1085</v>
      </c>
      <c r="B86" s="2">
        <f>'02_Formula_Repair_Engine'!G86</f>
        <v>6160</v>
      </c>
      <c r="C86" s="2">
        <f>'01_Corrupted_General_Ledger'!H86</f>
        <v>6160</v>
      </c>
      <c r="D86" s="2">
        <f t="shared" si="2"/>
        <v>0</v>
      </c>
      <c r="E86" s="2">
        <v>0.05</v>
      </c>
      <c r="F86" s="2" t="str">
        <f t="shared" si="3"/>
        <v>MATCHED</v>
      </c>
    </row>
    <row r="87" spans="1:6" x14ac:dyDescent="0.4">
      <c r="A87" s="2" t="str">
        <f>'02_Formula_Repair_Engine'!A87</f>
        <v>TXN-1086</v>
      </c>
      <c r="B87" s="2">
        <f>'02_Formula_Repair_Engine'!G87</f>
        <v>13950</v>
      </c>
      <c r="C87" s="2">
        <f>'01_Corrupted_General_Ledger'!H87</f>
        <v>13950</v>
      </c>
      <c r="D87" s="2">
        <f t="shared" si="2"/>
        <v>0</v>
      </c>
      <c r="E87" s="2">
        <v>0.05</v>
      </c>
      <c r="F87" s="2" t="str">
        <f t="shared" si="3"/>
        <v>MATCHED</v>
      </c>
    </row>
    <row r="88" spans="1:6" x14ac:dyDescent="0.4">
      <c r="A88" s="2" t="str">
        <f>'02_Formula_Repair_Engine'!A88</f>
        <v>TXN-1087</v>
      </c>
      <c r="B88" s="2">
        <f>'02_Formula_Repair_Engine'!G88</f>
        <v>0</v>
      </c>
      <c r="C88" s="2">
        <f>'01_Corrupted_General_Ledger'!H88</f>
        <v>0</v>
      </c>
      <c r="D88" s="2">
        <f t="shared" si="2"/>
        <v>0</v>
      </c>
      <c r="E88" s="2">
        <v>0.05</v>
      </c>
      <c r="F88" s="2" t="str">
        <f t="shared" si="3"/>
        <v>MATCHED</v>
      </c>
    </row>
    <row r="89" spans="1:6" x14ac:dyDescent="0.4">
      <c r="A89" s="2" t="str">
        <f>'02_Formula_Repair_Engine'!A89</f>
        <v>TXN-1088</v>
      </c>
      <c r="B89" s="2">
        <f>'02_Formula_Repair_Engine'!G89</f>
        <v>11840</v>
      </c>
      <c r="C89" s="2">
        <f>'01_Corrupted_General_Ledger'!H89</f>
        <v>11840</v>
      </c>
      <c r="D89" s="2">
        <f t="shared" si="2"/>
        <v>0</v>
      </c>
      <c r="E89" s="2">
        <v>0.05</v>
      </c>
      <c r="F89" s="2" t="str">
        <f t="shared" si="3"/>
        <v>MATCHED</v>
      </c>
    </row>
    <row r="90" spans="1:6" x14ac:dyDescent="0.4">
      <c r="A90" s="2" t="str">
        <f>'02_Formula_Repair_Engine'!A90</f>
        <v>TXN-1089</v>
      </c>
      <c r="B90" s="2">
        <f>'02_Formula_Repair_Engine'!G90</f>
        <v>8800</v>
      </c>
      <c r="C90" s="2">
        <f>'01_Corrupted_General_Ledger'!H90</f>
        <v>8800</v>
      </c>
      <c r="D90" s="2">
        <f t="shared" si="2"/>
        <v>0</v>
      </c>
      <c r="E90" s="2">
        <v>0.05</v>
      </c>
      <c r="F90" s="2" t="str">
        <f t="shared" si="3"/>
        <v>MATCHED</v>
      </c>
    </row>
    <row r="91" spans="1:6" x14ac:dyDescent="0.4">
      <c r="A91" s="2" t="str">
        <f>'02_Formula_Repair_Engine'!A91</f>
        <v>TXN-1090</v>
      </c>
      <c r="B91" s="2">
        <f>'02_Formula_Repair_Engine'!G91</f>
        <v>0</v>
      </c>
      <c r="C91" s="2">
        <f>'01_Corrupted_General_Ledger'!H91</f>
        <v>4750</v>
      </c>
      <c r="D91" s="2">
        <f t="shared" si="2"/>
        <v>4750</v>
      </c>
      <c r="E91" s="2">
        <v>0.05</v>
      </c>
      <c r="F91" s="2" t="str">
        <f t="shared" si="3"/>
        <v>VARIANCE DETECTED</v>
      </c>
    </row>
    <row r="92" spans="1:6" x14ac:dyDescent="0.4">
      <c r="A92" s="2" t="str">
        <f>'02_Formula_Repair_Engine'!A92</f>
        <v>TXN-1091</v>
      </c>
      <c r="B92" s="2">
        <f>'02_Formula_Repair_Engine'!G92</f>
        <v>64</v>
      </c>
      <c r="C92" s="2">
        <f>'01_Corrupted_General_Ledger'!H92</f>
        <v>3200</v>
      </c>
      <c r="D92" s="2">
        <f t="shared" si="2"/>
        <v>3136</v>
      </c>
      <c r="E92" s="2">
        <v>0.05</v>
      </c>
      <c r="F92" s="2" t="str">
        <f t="shared" si="3"/>
        <v>VARIANCE DETECTED</v>
      </c>
    </row>
    <row r="93" spans="1:6" x14ac:dyDescent="0.4">
      <c r="A93" s="2" t="str">
        <f>'02_Formula_Repair_Engine'!A93</f>
        <v>TXN-1092</v>
      </c>
      <c r="B93" s="2">
        <f>'02_Formula_Repair_Engine'!G93</f>
        <v>7400</v>
      </c>
      <c r="C93" s="2">
        <f>'01_Corrupted_General_Ledger'!H93</f>
        <v>7400</v>
      </c>
      <c r="D93" s="2">
        <f t="shared" si="2"/>
        <v>0</v>
      </c>
      <c r="E93" s="2">
        <v>0.05</v>
      </c>
      <c r="F93" s="2" t="str">
        <f t="shared" si="3"/>
        <v>MATCHED</v>
      </c>
    </row>
    <row r="94" spans="1:6" x14ac:dyDescent="0.4">
      <c r="A94" s="2" t="str">
        <f>'02_Formula_Repair_Engine'!A94</f>
        <v>TXN-1093</v>
      </c>
      <c r="B94" s="2">
        <f>'02_Formula_Repair_Engine'!G94</f>
        <v>23000</v>
      </c>
      <c r="C94" s="2">
        <f>'01_Corrupted_General_Ledger'!H94</f>
        <v>23000</v>
      </c>
      <c r="D94" s="2">
        <f t="shared" si="2"/>
        <v>0</v>
      </c>
      <c r="E94" s="2">
        <v>0.05</v>
      </c>
      <c r="F94" s="2" t="str">
        <f t="shared" si="3"/>
        <v>MATCHED</v>
      </c>
    </row>
    <row r="95" spans="1:6" x14ac:dyDescent="0.4">
      <c r="A95" s="2" t="str">
        <f>'02_Formula_Repair_Engine'!A95</f>
        <v>TXN-1094</v>
      </c>
      <c r="B95" s="2">
        <f>'02_Formula_Repair_Engine'!G95</f>
        <v>0</v>
      </c>
      <c r="C95" s="2">
        <f>'01_Corrupted_General_Ledger'!H95</f>
        <v>0</v>
      </c>
      <c r="D95" s="2">
        <f t="shared" si="2"/>
        <v>0</v>
      </c>
      <c r="E95" s="2">
        <v>0.05</v>
      </c>
      <c r="F95" s="2" t="str">
        <f t="shared" si="3"/>
        <v>MATCHED</v>
      </c>
    </row>
    <row r="96" spans="1:6" x14ac:dyDescent="0.4">
      <c r="A96" s="2" t="str">
        <f>'02_Formula_Repair_Engine'!A96</f>
        <v>TXN-1095</v>
      </c>
      <c r="B96" s="2">
        <f>'02_Formula_Repair_Engine'!G96</f>
        <v>7680</v>
      </c>
      <c r="C96" s="2">
        <f>'01_Corrupted_General_Ledger'!H96</f>
        <v>7680</v>
      </c>
      <c r="D96" s="2">
        <f t="shared" si="2"/>
        <v>0</v>
      </c>
      <c r="E96" s="2">
        <v>0.05</v>
      </c>
      <c r="F96" s="2" t="str">
        <f t="shared" si="3"/>
        <v>MATCHED</v>
      </c>
    </row>
    <row r="97" spans="1:6" x14ac:dyDescent="0.4">
      <c r="A97" s="2" t="str">
        <f>'02_Formula_Repair_Engine'!A97</f>
        <v>TXN-1096</v>
      </c>
      <c r="B97" s="2">
        <f>'02_Formula_Repair_Engine'!G97</f>
        <v>7050</v>
      </c>
      <c r="C97" s="2">
        <f>'01_Corrupted_General_Ledger'!H97</f>
        <v>7050</v>
      </c>
      <c r="D97" s="2">
        <f t="shared" si="2"/>
        <v>0</v>
      </c>
      <c r="E97" s="2">
        <v>0.05</v>
      </c>
      <c r="F97" s="2" t="str">
        <f t="shared" si="3"/>
        <v>MATCHED</v>
      </c>
    </row>
    <row r="98" spans="1:6" x14ac:dyDescent="0.4">
      <c r="A98" s="2" t="str">
        <f>'02_Formula_Repair_Engine'!A98</f>
        <v>TXN-1097</v>
      </c>
      <c r="B98" s="2">
        <f>'02_Formula_Repair_Engine'!G98</f>
        <v>0</v>
      </c>
      <c r="C98" s="2">
        <f>'01_Corrupted_General_Ledger'!H98</f>
        <v>4400</v>
      </c>
      <c r="D98" s="2">
        <f t="shared" si="2"/>
        <v>4400</v>
      </c>
      <c r="E98" s="2">
        <v>0.05</v>
      </c>
      <c r="F98" s="2" t="str">
        <f t="shared" si="3"/>
        <v>VARIANCE DETECTED</v>
      </c>
    </row>
    <row r="99" spans="1:6" x14ac:dyDescent="0.4">
      <c r="A99" s="2" t="str">
        <f>'02_Formula_Repair_Engine'!A99</f>
        <v>TXN-1098</v>
      </c>
      <c r="B99" s="2">
        <f>'02_Formula_Repair_Engine'!G99</f>
        <v>13570</v>
      </c>
      <c r="C99" s="2">
        <f>'01_Corrupted_General_Ledger'!H99</f>
        <v>13570</v>
      </c>
      <c r="D99" s="2">
        <f t="shared" si="2"/>
        <v>0</v>
      </c>
      <c r="E99" s="2">
        <v>0.05</v>
      </c>
      <c r="F99" s="2" t="str">
        <f t="shared" si="3"/>
        <v>MATCHED</v>
      </c>
    </row>
    <row r="100" spans="1:6" x14ac:dyDescent="0.4">
      <c r="A100" s="2" t="str">
        <f>'02_Formula_Repair_Engine'!A100</f>
        <v>TXN-1099</v>
      </c>
      <c r="B100" s="2">
        <f>'02_Formula_Repair_Engine'!G100</f>
        <v>125</v>
      </c>
      <c r="C100" s="2">
        <f>'01_Corrupted_General_Ledger'!H100</f>
        <v>6250</v>
      </c>
      <c r="D100" s="2">
        <f t="shared" si="2"/>
        <v>6125</v>
      </c>
      <c r="E100" s="2">
        <v>0.05</v>
      </c>
      <c r="F100" s="2" t="str">
        <f t="shared" si="3"/>
        <v>VARIANCE DETECTED</v>
      </c>
    </row>
    <row r="101" spans="1:6" x14ac:dyDescent="0.4">
      <c r="A101" s="2" t="str">
        <f>'02_Formula_Repair_Engine'!A101</f>
        <v>TXN-1100</v>
      </c>
      <c r="B101" s="2">
        <f>'02_Formula_Repair_Engine'!G101</f>
        <v>16100</v>
      </c>
      <c r="C101" s="2">
        <f>'01_Corrupted_General_Ledger'!H101</f>
        <v>16100</v>
      </c>
      <c r="D101" s="2">
        <f t="shared" si="2"/>
        <v>0</v>
      </c>
      <c r="E101" s="2">
        <v>0.05</v>
      </c>
      <c r="F101" s="2" t="str">
        <f t="shared" si="3"/>
        <v>MATCHED</v>
      </c>
    </row>
  </sheetData>
  <conditionalFormatting sqref="A2:F101">
    <cfRule type="expression" dxfId="0" priority="1">
      <formula>MOD(ROW(), 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44F5-1A5E-4397-B19D-EDDC1FBE61D6}">
  <dimension ref="B5:H6"/>
  <sheetViews>
    <sheetView showGridLines="0" workbookViewId="0">
      <selection activeCell="D14" sqref="D14"/>
    </sheetView>
  </sheetViews>
  <sheetFormatPr defaultRowHeight="14.4" x14ac:dyDescent="0.3"/>
  <cols>
    <col min="1" max="1" width="24.6640625" bestFit="1" customWidth="1"/>
    <col min="2" max="2" width="24.77734375" bestFit="1" customWidth="1"/>
    <col min="3" max="3" width="16.77734375" customWidth="1"/>
    <col min="4" max="4" width="24.77734375" customWidth="1"/>
    <col min="5" max="5" width="16.77734375" customWidth="1"/>
    <col min="6" max="6" width="24.77734375" customWidth="1"/>
    <col min="7" max="7" width="16.77734375" customWidth="1"/>
    <col min="8" max="8" width="24.77734375" customWidth="1"/>
  </cols>
  <sheetData>
    <row r="5" spans="2:8" ht="16.8" x14ac:dyDescent="0.4">
      <c r="B5" s="4" t="s">
        <v>229</v>
      </c>
      <c r="D5" s="4" t="s">
        <v>230</v>
      </c>
      <c r="F5" s="4" t="s">
        <v>231</v>
      </c>
      <c r="H5" s="4" t="s">
        <v>232</v>
      </c>
    </row>
    <row r="6" spans="2:8" ht="15" x14ac:dyDescent="0.35">
      <c r="B6" s="14">
        <f>COUNTA('01_Corrupted_General_Ledger'!A2:A101)</f>
        <v>100</v>
      </c>
      <c r="D6" s="14">
        <f>COUNTIF('02_Formula_Repair_Engine'!H2:H101, "REPAIRED")</f>
        <v>44</v>
      </c>
      <c r="F6" s="14">
        <f>COUNTIF('03_Reconciliation_Matrix'!F2:F101, "VARIANCE DETECTED")</f>
        <v>28</v>
      </c>
      <c r="H6" s="14">
        <f>(1 - (F6 / B6))</f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01_Corrupted_General_Ledger</vt:lpstr>
      <vt:lpstr>02_Formula_Repair_Engine</vt:lpstr>
      <vt:lpstr>03_Reconciliation_Matrix</vt:lpstr>
      <vt:lpstr>04_Audit_Executive_Console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Anish</dc:creator>
  <cp:lastModifiedBy>Anish Anish</cp:lastModifiedBy>
  <dcterms:created xsi:type="dcterms:W3CDTF">2026-10-28T06:32:53Z</dcterms:created>
  <dcterms:modified xsi:type="dcterms:W3CDTF">2026-10-28T10:22:53Z</dcterms:modified>
</cp:coreProperties>
</file>